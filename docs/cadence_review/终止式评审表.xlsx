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评审表" sheetId="2" state="visible" r:id="rId2"/>
    <sheet name="谱例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3864"/>
      <sz val="11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2" customWidth="1" min="3" max="3"/>
  </cols>
  <sheetData>
    <row r="1">
      <c r="B1" s="1" t="inlineStr">
        <is>
          <t>终止式人工评审 · 一页说明</t>
        </is>
      </c>
    </row>
    <row r="3">
      <c r="B3" s="2" t="inlineStr">
        <is>
          <t>你要做的事</t>
        </is>
      </c>
    </row>
    <row r="4" ht="30" customHeight="1">
      <c r="B4" s="3" t="inlineStr">
        <is>
          <t>评审对象</t>
        </is>
      </c>
      <c r="C4" s="4" t="inlineStr">
        <is>
          <t>docs/cadence_review/终止式评审乐谱.pdf 里的 25 个谱例（12 条规则 × 各自全部真实出现）。</t>
        </is>
      </c>
    </row>
    <row r="5" ht="30" customHeight="1">
      <c r="B5" s="3" t="inlineStr">
        <is>
          <t>试听</t>
        </is>
      </c>
      <c r="C5" s="4" t="inlineStr">
        <is>
          <t>midi/ 文件夹里每个谱例一个 MIDI，文件名 &lt;C编号&gt;_&lt;第几次&gt;.mid（如 C108_1.mid，♩=60），与乐谱标题【C 编号 · 第 i/N 次】对应；判定以谱面为准。</t>
        </is>
      </c>
    </row>
    <row r="6" ht="30" customHeight="1">
      <c r="B6" s="3" t="inlineStr">
        <is>
          <t>操作</t>
        </is>
      </c>
      <c r="C6" s="4" t="inlineStr">
        <is>
          <t>按 C 编号在乐谱里找到该条的全部谱例 → 看谱 → 在「评审表」为该 C 编号填一行。</t>
        </is>
      </c>
    </row>
    <row r="7" ht="30" customHeight="1">
      <c r="B7" s="3" t="inlineStr">
        <is>
          <t>时间</t>
        </is>
      </c>
      <c r="C7" s="4" t="inlineStr">
        <is>
          <t>每条约 2–5 分钟，全程约 60 分钟。</t>
        </is>
      </c>
    </row>
    <row r="8">
      <c r="B8" s="2" t="inlineStr">
        <is>
          <t>看谱要点</t>
        </is>
      </c>
    </row>
    <row r="9" ht="30" customHeight="1">
      <c r="B9" s="3" t="inlineStr">
        <is>
          <t>谱例标题</t>
        </is>
      </c>
      <c r="C9" s="4" t="inlineStr">
        <is>
          <t>【C 编号 · 第 i/N 次】作品 · 调 · 拍号 · 第几句 · 小节 · 和声骨架。</t>
        </is>
      </c>
    </row>
    <row r="10" ht="30" customHeight="1">
      <c r="B10" s="3" t="inlineStr">
        <is>
          <t>终止窗口</t>
        </is>
      </c>
      <c r="C10" s="4" t="inlineStr">
        <is>
          <t>末尾 3 个和弦（低音谱下方标了罗马数字 ① ② ③），最后一带延长记号的音就是句尾。</t>
        </is>
      </c>
    </row>
    <row r="11" ht="30" customHeight="1">
      <c r="B11" s="3" t="inlineStr">
        <is>
          <t>女高音落音</t>
        </is>
      </c>
      <c r="C11" s="4" t="inlineStr">
        <is>
          <t>标签里给出的两个数字是相对主音的音级（1=主音，5=属音），只到音级、不含八度。</t>
        </is>
      </c>
    </row>
    <row r="12">
      <c r="B12" s="2" t="inlineStr">
        <is>
          <t>怎么填（评审表 7 个下拉列）</t>
        </is>
      </c>
    </row>
    <row r="13" ht="30" customHeight="1">
      <c r="B13" s="3" t="inlineStr">
        <is>
          <t>① 是否真实终止位置</t>
        </is>
      </c>
      <c r="C13" s="4" t="inlineStr">
        <is>
          <t>REAL_CADENCE=正常句尾 / SUSPECT-低中高=存疑 / NOT_CADENCE=根本不是终止（如三拍同和弦、延长记号误读）。</t>
        </is>
      </c>
    </row>
    <row r="14" ht="30" customHeight="1">
      <c r="B14" s="3" t="inlineStr">
        <is>
          <t>② 终止式类型判定</t>
        </is>
      </c>
      <c r="C14" s="4" t="inlineStr">
        <is>
          <t>给这条规则一个独立结论：RECODE_xxx=改判为该类型；KEEP_OTHER=确认「其他终止」是对的；MODULATED=已转调（在备注写新调）；NOT_CADENCE / UNDETERMINED。</t>
        </is>
      </c>
    </row>
    <row r="15" ht="30" customHeight="1">
      <c r="B15" s="3" t="inlineStr">
        <is>
          <t>③④⑤ 三个等级</t>
        </is>
      </c>
      <c r="C15" s="4" t="inlineStr">
        <is>
          <t>一律四选一：正确 / 部分正确 / 错误 / 无法判定。⑤ 位置一栏**没有「正确」**（数据里本来就没有位置标注，只能对照先验）。</t>
        </is>
      </c>
    </row>
    <row r="16" ht="30" customHeight="1">
      <c r="B16" s="3" t="inlineStr">
        <is>
          <t>置信度</t>
        </is>
      </c>
      <c r="C16" s="4" t="inlineStr">
        <is>
          <t>高=三条准入都满足；中=满足两条或有轻度存疑；低=任一「无法判定」或 n=2 且无特别理由。</t>
        </is>
      </c>
    </row>
    <row r="17" ht="30" customHeight="1">
      <c r="B17" s="3" t="inlineStr">
        <is>
          <t>判定依据</t>
        </is>
      </c>
      <c r="C17" s="4" t="inlineStr">
        <is>
          <t>**必须引用谱面事实**，例如「低音 6→4→3 下行、女高音落 3、非属→主」。只写「听起来像」无效。</t>
        </is>
      </c>
    </row>
    <row r="18">
      <c r="B18" s="2" t="inlineStr">
        <is>
          <t>常见的坑</t>
        </is>
      </c>
    </row>
    <row r="19" ht="30" customHeight="1">
      <c r="B19" s="3" t="inlineStr">
        <is>
          <t>① 转调</t>
        </is>
      </c>
      <c r="C19" s="4" t="inlineStr">
        <is>
          <t>小调终止在 III（关系大调主和弦）的有 3 条（C228、C230、C233）—— 可能是转到关系大调的终止，是则判 MODULATED 并写新调，别硬套原调。</t>
        </is>
      </c>
    </row>
    <row r="20" ht="30" customHeight="1">
      <c r="B20" s="3" t="inlineStr">
        <is>
          <t>② 属七结尾</t>
        </is>
      </c>
      <c r="C20" s="4" t="inlineStr">
        <is>
          <t>判定程序只认大三和弦的属，属七结尾会掉进「其他」—— 属七结尾可以判半终止 HC。</t>
        </is>
      </c>
    </row>
    <row r="21" ht="30" customHeight="1">
      <c r="B21" s="3" t="inlineStr">
        <is>
          <t>③ 样本太薄</t>
        </is>
      </c>
      <c r="C21" s="4" t="inlineStr">
        <is>
          <t>11 条只有 n=2 次，最高只能给「部分正确」，除非你在依据里说明为什么 2 次足够。</t>
        </is>
      </c>
    </row>
    <row r="22">
      <c r="B22" s="2" t="inlineStr">
        <is>
          <t>多人怎么合</t>
        </is>
      </c>
    </row>
    <row r="23" ht="30" customHeight="1">
      <c r="B23" s="3" t="inlineStr">
        <is>
          <t>流程</t>
        </is>
      </c>
      <c r="C23" s="4" t="inlineStr">
        <is>
          <t>两人各自独立评完全部 12 条 → 对照；同族内不同（如 PAC vs IAC）取约束更松者；跨族不同（如 HC vs NOT_CADENCE）交第三人仲裁。</t>
        </is>
      </c>
    </row>
    <row r="24">
      <c r="B24" s="2" t="inlineStr">
        <is>
          <t>交付</t>
        </is>
      </c>
    </row>
    <row r="25" ht="30" customHeight="1">
      <c r="B25" s="3" t="inlineStr">
        <is>
          <t>产出</t>
        </is>
      </c>
      <c r="C25" s="4" t="inlineStr">
        <is>
          <t>填好的 终止式评审表.xlsx（评审表 sheet 每行必填，依据列不得留空）。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10" customWidth="1" min="4" max="4"/>
    <col width="9" customWidth="1" min="5" max="5"/>
    <col width="46" customWidth="1" min="6" max="6"/>
    <col width="15" customWidth="1" min="7" max="7"/>
    <col width="17" customWidth="1" min="8" max="8"/>
    <col width="11" customWidth="1" min="9" max="9"/>
    <col width="13" customWidth="1" min="10" max="10"/>
    <col width="11" customWidth="1" min="11" max="11"/>
    <col width="8" customWidth="1" min="12" max="12"/>
    <col width="44" customWidth="1" min="13" max="13"/>
    <col width="26" customWidth="1" min="14" max="14"/>
    <col width="9" customWidth="1" min="15" max="15"/>
  </cols>
  <sheetData>
    <row r="1" ht="34" customHeight="1">
      <c r="A1" s="5" t="inlineStr">
        <is>
          <t>C 编号</t>
        </is>
      </c>
      <c r="B1" s="5" t="inlineStr">
        <is>
          <t>调式</t>
        </is>
      </c>
      <c r="C1" s="5" t="inlineStr">
        <is>
          <t>终止窗口和声</t>
        </is>
      </c>
      <c r="D1" s="5" t="inlineStr">
        <is>
          <t>女高音落音</t>
        </is>
      </c>
      <c r="E1" s="5" t="inlineStr">
        <is>
          <t>出现次数 n</t>
        </is>
      </c>
      <c r="F1" s="5" t="inlineStr">
        <is>
          <t>谱例位置（乐谱 PDF 中的标签）</t>
        </is>
      </c>
      <c r="G1" s="5" t="inlineStr">
        <is>
          <t>① 是否真实终止位置</t>
        </is>
      </c>
      <c r="H1" s="5" t="inlineStr">
        <is>
          <t>② 终止式类型判定</t>
        </is>
      </c>
      <c r="I1" s="5" t="inlineStr">
        <is>
          <t>③ 类型等级</t>
        </is>
      </c>
      <c r="J1" s="5" t="inlineStr">
        <is>
          <t>④ 和声/低音匹配</t>
        </is>
      </c>
      <c r="K1" s="5" t="inlineStr">
        <is>
          <t>⑤ 位置合理性</t>
        </is>
      </c>
      <c r="L1" s="5" t="inlineStr">
        <is>
          <t>置信度</t>
        </is>
      </c>
      <c r="M1" s="5" t="inlineStr">
        <is>
          <t>判定依据（必须引用谱面，如「低音 2→4→6 上行」）</t>
        </is>
      </c>
      <c r="N1" s="5" t="inlineStr">
        <is>
          <t>备注 / 触发的规则号</t>
        </is>
      </c>
      <c r="O1" s="5" t="inlineStr">
        <is>
          <t>需补谱例?</t>
        </is>
      </c>
    </row>
    <row r="2" ht="78" customHeight="1">
      <c r="A2" s="6" t="inlineStr">
        <is>
          <t>C108</t>
        </is>
      </c>
      <c r="B2" s="6" t="inlineStr">
        <is>
          <t>大调</t>
        </is>
      </c>
      <c r="C2" s="7" t="inlineStr">
        <is>
          <t>vi6 – IM7 – vi</t>
        </is>
      </c>
      <c r="D2" s="6" t="inlineStr">
        <is>
          <t>4 → 0</t>
        </is>
      </c>
      <c r="E2" s="6" t="n">
        <v>2</v>
      </c>
      <c r="F2" s="7" t="inlineStr">
        <is>
          <t>第1次: bwv194.6 Bb大调 第5句 第9–11小节；第2次: bwv194.6 Bb大调 第5句 第9–11小节</t>
        </is>
      </c>
      <c r="G2" s="6" t="inlineStr">
        <is>
          <t>REAL_CADENCE</t>
        </is>
      </c>
      <c r="H2" s="6" t="inlineStr">
        <is>
          <t>KEEP_OTHER</t>
        </is>
      </c>
      <c r="I2" s="6" t="inlineStr">
        <is>
          <t>部分正确</t>
        </is>
      </c>
      <c r="J2" s="6" t="inlineStr">
        <is>
          <t>部分正确</t>
        </is>
      </c>
      <c r="K2" s="6" t="inlineStr">
        <is>
          <t>部分正确</t>
        </is>
      </c>
      <c r="L2" s="6" t="inlineStr">
        <is>
          <t>中</t>
        </is>
      </c>
      <c r="M2" s="7" t="inlineStr">
        <is>
          <t>Bb大调。女高音D5→Bb4，低音Bb2→G3，落在G小三原位（vi）。前一拍上方是D–F#–A，低音仍停在Bb，不是属和弦，所以不是V–vi的阻碍终止，也不是主和弦终止。</t>
        </is>
      </c>
      <c r="N2" s="7" t="inlineStr">
        <is>
          <t>两次是bwv194.6第5句的重复登录，只有一个独立谱例。中间和弦标IM7，但女中是F#不是F。</t>
        </is>
      </c>
      <c r="O2" s="6" t="inlineStr">
        <is>
          <t>是</t>
        </is>
      </c>
    </row>
    <row r="3" ht="78" customHeight="1">
      <c r="A3" s="8" t="inlineStr">
        <is>
          <t>C126</t>
        </is>
      </c>
      <c r="B3" s="8" t="inlineStr">
        <is>
          <t>大调</t>
        </is>
      </c>
      <c r="C3" s="9" t="inlineStr">
        <is>
          <t>vi – v42 – IV</t>
        </is>
      </c>
      <c r="D3" s="8" t="inlineStr">
        <is>
          <t>0 → 0</t>
        </is>
      </c>
      <c r="E3" s="8" t="n">
        <v>2</v>
      </c>
      <c r="F3" s="9" t="inlineStr">
        <is>
          <t>第1次: bwv362 Bb大调 第3句 第4–6小节；第2次: bwv362 Bb大调 第5句 第8–10小节</t>
        </is>
      </c>
      <c r="G3" s="8" t="inlineStr">
        <is>
          <t>REAL_CADENCE</t>
        </is>
      </c>
      <c r="H3" s="8" t="inlineStr">
        <is>
          <t>KEEP_OTHER</t>
        </is>
      </c>
      <c r="I3" s="8" t="inlineStr">
        <is>
          <t>正确</t>
        </is>
      </c>
      <c r="J3" s="8" t="inlineStr">
        <is>
          <t>部分正确</t>
        </is>
      </c>
      <c r="K3" s="8" t="inlineStr">
        <is>
          <t>部分正确</t>
        </is>
      </c>
      <c r="L3" s="8" t="inlineStr">
        <is>
          <t>中</t>
        </is>
      </c>
      <c r="M3" s="9" t="inlineStr">
        <is>
          <t>Bb大调。第3句与第5句外声部相同：女高音保持Bb4，低音停在Eb3，落在Eb大三原位（IV）。不是属和弦F，也不是主和弦Bb，所以不是半终止或变格终止。</t>
        </is>
      </c>
      <c r="N3" s="9" t="inlineStr">
        <is>
          <t>两次独立乐句同构，模式无歧义，故n=2仍可确认类型。标v42时五音C未出现，女高音Bb从vi延留。</t>
        </is>
      </c>
      <c r="O3" s="8" t="inlineStr">
        <is>
          <t>否</t>
        </is>
      </c>
    </row>
    <row r="4" ht="78" customHeight="1">
      <c r="A4" s="6" t="inlineStr">
        <is>
          <t>C141</t>
        </is>
      </c>
      <c r="B4" s="6" t="inlineStr">
        <is>
          <t>大调</t>
        </is>
      </c>
      <c r="C4" s="7" t="inlineStr">
        <is>
          <t>vi65 – V/V – iii</t>
        </is>
      </c>
      <c r="D4" s="6" t="inlineStr">
        <is>
          <t>6 → 7</t>
        </is>
      </c>
      <c r="E4" s="6" t="n">
        <v>2</v>
      </c>
      <c r="F4" s="7" t="inlineStr">
        <is>
          <t>第1次: bwv325 F大调 第8句 第11–12小节；第2次: bwv325 F大调 第8句 第11–12小节</t>
        </is>
      </c>
      <c r="G4" s="6" t="inlineStr">
        <is>
          <t>REAL_CADENCE</t>
        </is>
      </c>
      <c r="H4" s="6" t="inlineStr">
        <is>
          <t>KEEP_OTHER</t>
        </is>
      </c>
      <c r="I4" s="6" t="inlineStr">
        <is>
          <t>部分正确</t>
        </is>
      </c>
      <c r="J4" s="6" t="inlineStr">
        <is>
          <t>正确</t>
        </is>
      </c>
      <c r="K4" s="6" t="inlineStr">
        <is>
          <t>部分正确</t>
        </is>
      </c>
      <c r="L4" s="6" t="inlineStr">
        <is>
          <t>中</t>
        </is>
      </c>
      <c r="M4" s="7" t="inlineStr">
        <is>
          <t>F大调。低音G3→A3，女高音B4→C5。前和弦G–B–D是V/V，落音A–C–E是iii原位。V/V应进到V（C大三），这里进到iii，即属调的vi；不是本调的V–vi，也不是副属解决到自己的目标。</t>
        </is>
      </c>
      <c r="N4" s="7" t="inlineStr">
        <is>
          <t>两次是bwv325第8句的重复登录。</t>
        </is>
      </c>
      <c r="O4" s="6" t="inlineStr">
        <is>
          <t>是</t>
        </is>
      </c>
    </row>
    <row r="5" ht="78" customHeight="1">
      <c r="A5" s="8" t="inlineStr">
        <is>
          <t>C228</t>
        </is>
      </c>
      <c r="B5" s="8" t="inlineStr">
        <is>
          <t>小调</t>
        </is>
      </c>
      <c r="C5" s="9" t="inlineStr">
        <is>
          <t>III64 – v6 – III</t>
        </is>
      </c>
      <c r="D5" s="8" t="inlineStr">
        <is>
          <t>2 → 3</t>
        </is>
      </c>
      <c r="E5" s="8" t="n">
        <v>2</v>
      </c>
      <c r="F5" s="9" t="inlineStr">
        <is>
          <t>第1次: bwv103.6 B小调 第5句 第8–10小节；第2次: bwv103.6 B小调 第5句 第8–10小节</t>
        </is>
      </c>
      <c r="G5" s="8" t="inlineStr">
        <is>
          <t>REAL_CADENCE</t>
        </is>
      </c>
      <c r="H5" s="8" t="inlineStr">
        <is>
          <t>MODULATED</t>
        </is>
      </c>
      <c r="I5" s="8" t="inlineStr">
        <is>
          <t>错误</t>
        </is>
      </c>
      <c r="J5" s="8" t="inlineStr">
        <is>
          <t>正确</t>
        </is>
      </c>
      <c r="K5" s="8" t="inlineStr">
        <is>
          <t>部分正确</t>
        </is>
      </c>
      <c r="L5" s="8" t="inlineStr">
        <is>
          <t>中</t>
        </is>
      </c>
      <c r="M5" s="9" t="inlineStr">
        <is>
          <t>B小调谱面最后落在D大三原位。低音A3→D3，女高音C#5→D5，是关系大调D的属音低音进主音、导音上行解决。前和弦是F#–A–C#，含F#而不是E，不是干净的A大三。</t>
        </is>
      </c>
      <c r="N5" s="9" t="inlineStr">
        <is>
          <t>新调D大调。两次是bwv103.6第5句的重复登录。</t>
        </is>
      </c>
      <c r="O5" s="8" t="inlineStr">
        <is>
          <t>是</t>
        </is>
      </c>
    </row>
    <row r="6" ht="78" customHeight="1">
      <c r="A6" s="6" t="inlineStr">
        <is>
          <t>C230</t>
        </is>
      </c>
      <c r="B6" s="6" t="inlineStr">
        <is>
          <t>小调</t>
        </is>
      </c>
      <c r="C6" s="7" t="inlineStr">
        <is>
          <t>III – III – III</t>
        </is>
      </c>
      <c r="D6" s="6" t="inlineStr">
        <is>
          <t>7 → 7</t>
        </is>
      </c>
      <c r="E6" s="6" t="n">
        <v>2</v>
      </c>
      <c r="F6" s="7" t="inlineStr">
        <is>
          <t>第1次: bwv366 D小调 第3句 第9–12小节；第2次: bwv272 D小调 第1句 第0–2小节</t>
        </is>
      </c>
      <c r="G6" s="6" t="inlineStr">
        <is>
          <t>SUSPECT-低</t>
        </is>
      </c>
      <c r="H6" s="6" t="inlineStr">
        <is>
          <t>MODULATED</t>
        </is>
      </c>
      <c r="I6" s="6" t="inlineStr">
        <is>
          <t>错误</t>
        </is>
      </c>
      <c r="J6" s="6" t="inlineStr">
        <is>
          <t>部分正确</t>
        </is>
      </c>
      <c r="K6" s="6" t="inlineStr">
        <is>
          <t>部分正确</t>
        </is>
      </c>
      <c r="L6" s="6" t="inlineStr">
        <is>
          <t>中</t>
        </is>
      </c>
      <c r="M6" s="7" t="inlineStr">
        <is>
          <t>两次延长记号都在持续的F大三（D小调的III）上，窗口内三拍和弦不变。bwv366前一拍是C大三，低音C→F、女高音G→A，在F大调是原位V–I，但女高音落在三音。bwv272前一拍是G小七，低音Bb→F，在F大调是ii7–I。</t>
        </is>
      </c>
      <c r="N6" s="7" t="inlineStr">
        <is>
          <t>新调F大调。三拍同和弦是主和弦延长。两次前置和声不同：一次接近不完全正格，一次是下属功能进主。</t>
        </is>
      </c>
      <c r="O6" s="6" t="inlineStr">
        <is>
          <t>否</t>
        </is>
      </c>
    </row>
    <row r="7" ht="78" customHeight="1">
      <c r="A7" s="8" t="inlineStr">
        <is>
          <t>C233</t>
        </is>
      </c>
      <c r="B7" s="8" t="inlineStr">
        <is>
          <t>小调</t>
        </is>
      </c>
      <c r="C7" s="9" t="inlineStr">
        <is>
          <t>III6 – IV42 – III</t>
        </is>
      </c>
      <c r="D7" s="8" t="inlineStr">
        <is>
          <t>5 → 7</t>
        </is>
      </c>
      <c r="E7" s="8" t="n">
        <v>2</v>
      </c>
      <c r="F7" s="9" t="inlineStr">
        <is>
          <t>第1次: bwv276 D小调 第8句 第14–16小节；第2次: bwv412 G小调 第6句 第9–10小节</t>
        </is>
      </c>
      <c r="G7" s="8" t="inlineStr">
        <is>
          <t>REAL_CADENCE</t>
        </is>
      </c>
      <c r="H7" s="8" t="inlineStr">
        <is>
          <t>MODULATED</t>
        </is>
      </c>
      <c r="I7" s="8" t="inlineStr">
        <is>
          <t>错误</t>
        </is>
      </c>
      <c r="J7" s="8" t="inlineStr">
        <is>
          <t>部分正确</t>
        </is>
      </c>
      <c r="K7" s="8" t="inlineStr">
        <is>
          <t>部分正确</t>
        </is>
      </c>
      <c r="L7" s="8" t="inlineStr">
        <is>
          <t>中</t>
        </is>
      </c>
      <c r="M7" s="9" t="inlineStr">
        <is>
          <t>两次都停在关系大调主和弦原位、女高音在三音：D小调落F大三（女高音A4、低音F），G小调落Bb大三（女高音D5、低音Bb）。前一拍标IV42，但三音和五音都没有（分别是G–C–F与C–F–Bb），低音七音保持成后和弦的根音，不是属到主。</t>
        </is>
      </c>
      <c r="N7" s="9" t="inlineStr">
        <is>
          <t>新调分别是F大调、Bb大调。这是关系大调上的主和弦收束，不是新调的正格终止。</t>
        </is>
      </c>
      <c r="O7" s="8" t="inlineStr">
        <is>
          <t>否</t>
        </is>
      </c>
    </row>
    <row r="8" ht="78" customHeight="1">
      <c r="A8" s="6" t="inlineStr">
        <is>
          <t>C261</t>
        </is>
      </c>
      <c r="B8" s="6" t="inlineStr">
        <is>
          <t>小调</t>
        </is>
      </c>
      <c r="C8" s="7" t="inlineStr">
        <is>
          <t>VII – VII – VII</t>
        </is>
      </c>
      <c r="D8" s="6" t="inlineStr">
        <is>
          <t>2 → 5</t>
        </is>
      </c>
      <c r="E8" s="6" t="n">
        <v>2</v>
      </c>
      <c r="F8" s="7" t="inlineStr">
        <is>
          <t>第1次: bwv28.6 A小调 第1句 第0–2小节；第2次: bwv28.6 A小调 第1句 第0–2小节</t>
        </is>
      </c>
      <c r="G8" s="6" t="inlineStr">
        <is>
          <t>REAL_CADENCE</t>
        </is>
      </c>
      <c r="H8" s="6" t="inlineStr">
        <is>
          <t>MODULATED</t>
        </is>
      </c>
      <c r="I8" s="6" t="inlineStr">
        <is>
          <t>错误</t>
        </is>
      </c>
      <c r="J8" s="6" t="inlineStr">
        <is>
          <t>部分正确</t>
        </is>
      </c>
      <c r="K8" s="6" t="inlineStr">
        <is>
          <t>部分正确</t>
        </is>
      </c>
      <c r="L8" s="6" t="inlineStr">
        <is>
          <t>中</t>
        </is>
      </c>
      <c r="M8" s="7" t="inlineStr">
        <is>
          <t>A小调。窗口三拍都是G大三，女高音最后到D5，低音G。进入窗口的那一步才是终止进行：前一拍IV6为D–F#–A、低音F#，低音F#→G，和弦进入G大三，即G大调的V–I。解决时女高音到B（三音），延长后才到五音D，不是完全正格。</t>
        </is>
      </c>
      <c r="N8" s="7" t="inlineStr">
        <is>
          <t>新调G大调。两次是bwv28.6第1句的重复登录。标注窗口没有把属和弦包进去。</t>
        </is>
      </c>
      <c r="O8" s="6" t="inlineStr">
        <is>
          <t>是</t>
        </is>
      </c>
    </row>
    <row r="9" ht="78" customHeight="1">
      <c r="A9" s="8" t="inlineStr">
        <is>
          <t>C265</t>
        </is>
      </c>
      <c r="B9" s="8" t="inlineStr">
        <is>
          <t>小调</t>
        </is>
      </c>
      <c r="C9" s="9" t="inlineStr">
        <is>
          <t>v – i65 – VII</t>
        </is>
      </c>
      <c r="D9" s="8" t="inlineStr">
        <is>
          <t>0 → 2</t>
        </is>
      </c>
      <c r="E9" s="8" t="n">
        <v>2</v>
      </c>
      <c r="F9" s="9" t="inlineStr">
        <is>
          <t>第1次: bwv334 G小调 第4句 第6–8小节；第2次: bwv341 G小调 第1句 第0–1小节</t>
        </is>
      </c>
      <c r="G9" s="8" t="inlineStr">
        <is>
          <t>REAL_CADENCE</t>
        </is>
      </c>
      <c r="H9" s="8" t="inlineStr">
        <is>
          <t>MODULATED</t>
        </is>
      </c>
      <c r="I9" s="8" t="inlineStr">
        <is>
          <t>错误</t>
        </is>
      </c>
      <c r="J9" s="8" t="inlineStr">
        <is>
          <t>正确</t>
        </is>
      </c>
      <c r="K9" s="8" t="inlineStr">
        <is>
          <t>部分正确</t>
        </is>
      </c>
      <c r="L9" s="8" t="inlineStr">
        <is>
          <t>中</t>
        </is>
      </c>
      <c r="M9" s="9" t="inlineStr">
        <is>
          <t>G小调。两次低音都是D→Bb→F，女高音F→G→A，落在F大三原位。F是关系大调Bb的属，A是Bb的导音；前面的D小三与G小七是Bb的iii与vi65。这是Bb大调的半终止，不是G小调落在D上的半终止。</t>
        </is>
      </c>
      <c r="N9" s="9" t="inlineStr">
        <is>
          <t>新调Bb大调，收在属上，是半终止不是完全终止。bwv334第4句与bwv341第1句和声同构。</t>
        </is>
      </c>
      <c r="O9" s="8" t="inlineStr">
        <is>
          <t>否</t>
        </is>
      </c>
    </row>
    <row r="10" ht="78" customHeight="1">
      <c r="A10" s="6" t="inlineStr">
        <is>
          <t>C268</t>
        </is>
      </c>
      <c r="B10" s="6" t="inlineStr">
        <is>
          <t>小调</t>
        </is>
      </c>
      <c r="C10" s="7" t="inlineStr">
        <is>
          <t>iv – ii6 – VII</t>
        </is>
      </c>
      <c r="D10" s="6" t="inlineStr">
        <is>
          <t>9 → 10</t>
        </is>
      </c>
      <c r="E10" s="6" t="n">
        <v>2</v>
      </c>
      <c r="F10" s="7" t="inlineStr">
        <is>
          <t>第1次: bwv103.6 B小调 第3句 第4–6小节；第2次: bwv103.6 B小调 第3句 第4–6小节</t>
        </is>
      </c>
      <c r="G10" s="6" t="inlineStr">
        <is>
          <t>REAL_CADENCE</t>
        </is>
      </c>
      <c r="H10" s="6" t="inlineStr">
        <is>
          <t>MODULATED</t>
        </is>
      </c>
      <c r="I10" s="6" t="inlineStr">
        <is>
          <t>错误</t>
        </is>
      </c>
      <c r="J10" s="6" t="inlineStr">
        <is>
          <t>正确</t>
        </is>
      </c>
      <c r="K10" s="6" t="inlineStr">
        <is>
          <t>部分正确</t>
        </is>
      </c>
      <c r="L10" s="6" t="inlineStr">
        <is>
          <t>中</t>
        </is>
      </c>
      <c r="M10" s="7" t="inlineStr">
        <is>
          <t>B小调。低音E→A，女高音Ab4（即G#）→A4，落在A大三原位、女高音在根音。G#是A的导音并上行解决，低音从属音进主音，是A大调的正格终止。前和弦为C#–E–G#、低音E，含C#而不是B，不是纯净的E大三。</t>
        </is>
      </c>
      <c r="N10" s="7" t="inlineStr">
        <is>
          <t>新调A大调。两次是bwv103.6第3句的重复登录。</t>
        </is>
      </c>
      <c r="O10" s="6" t="inlineStr">
        <is>
          <t>是</t>
        </is>
      </c>
    </row>
    <row r="11" ht="78" customHeight="1">
      <c r="A11" s="8" t="inlineStr">
        <is>
          <t>C276</t>
        </is>
      </c>
      <c r="B11" s="8" t="inlineStr">
        <is>
          <t>小调</t>
        </is>
      </c>
      <c r="C11" s="9" t="inlineStr">
        <is>
          <t>i – iiø65 – VI</t>
        </is>
      </c>
      <c r="D11" s="8" t="inlineStr">
        <is>
          <t>2 → 0</t>
        </is>
      </c>
      <c r="E11" s="8" t="n">
        <v>3</v>
      </c>
      <c r="F11" s="9" t="inlineStr">
        <is>
          <t>第1次: bwv437 D小调 第12句 第26–27小节；第2次: bwv284 G小调 第6句 第10–11小节；第3次: bwv312 A小调 第6句 第11–13小节</t>
        </is>
      </c>
      <c r="G11" s="8" t="inlineStr">
        <is>
          <t>REAL_CADENCE</t>
        </is>
      </c>
      <c r="H11" s="8" t="inlineStr">
        <is>
          <t>KEEP_OTHER</t>
        </is>
      </c>
      <c r="I11" s="8" t="inlineStr">
        <is>
          <t>正确</t>
        </is>
      </c>
      <c r="J11" s="8" t="inlineStr">
        <is>
          <t>正确</t>
        </is>
      </c>
      <c r="K11" s="8" t="inlineStr">
        <is>
          <t>部分正确</t>
        </is>
      </c>
      <c r="L11" s="8" t="inlineStr">
        <is>
          <t>高</t>
        </is>
      </c>
      <c r="M11" s="9" t="inlineStr">
        <is>
          <t>D小调、G小调、A小调各一次，结构相同：iiø65的低音（音级4）上行小三度到VI的根音，女高音级进下行落到主音，而这个主音是VI的三音。前和弦是iiø65不是属，所以不是阻碍终止；也没有进入VI的属和弦，不是转入VI的正格终止。</t>
        </is>
      </c>
      <c r="N11" s="9" t="inlineStr">
        <is>
          <t>n=3，三次低音音程与女高音落音一致。</t>
        </is>
      </c>
      <c r="O11" s="8" t="inlineStr">
        <is>
          <t>否</t>
        </is>
      </c>
    </row>
    <row r="12" ht="78" customHeight="1">
      <c r="A12" s="6" t="inlineStr">
        <is>
          <t>C282</t>
        </is>
      </c>
      <c r="B12" s="6" t="inlineStr">
        <is>
          <t>小调</t>
        </is>
      </c>
      <c r="C12" s="7" t="inlineStr">
        <is>
          <t>iv6 – v42 – iv</t>
        </is>
      </c>
      <c r="D12" s="6" t="inlineStr">
        <is>
          <t>7 → 0</t>
        </is>
      </c>
      <c r="E12" s="6" t="n">
        <v>2</v>
      </c>
      <c r="F12" s="7" t="inlineStr">
        <is>
          <t>第1次: bwv33.6 A小调 第3句 第6–8小节；第2次: bwv261 B小调 第4句 第9–12小节</t>
        </is>
      </c>
      <c r="G12" s="6" t="inlineStr">
        <is>
          <t>REAL_CADENCE</t>
        </is>
      </c>
      <c r="H12" s="6" t="inlineStr">
        <is>
          <t>KEEP_OTHER</t>
        </is>
      </c>
      <c r="I12" s="6" t="inlineStr">
        <is>
          <t>正确</t>
        </is>
      </c>
      <c r="J12" s="6" t="inlineStr">
        <is>
          <t>正确</t>
        </is>
      </c>
      <c r="K12" s="6" t="inlineStr">
        <is>
          <t>部分正确</t>
        </is>
      </c>
      <c r="L12" s="6" t="inlineStr">
        <is>
          <t>中</t>
        </is>
      </c>
      <c r="M12" s="7" t="inlineStr">
        <is>
          <t>A小调与B小调各一次。落在iv原位，女高音在主音（是iv的五音），低音停在iv的根音（分别是D、E）。前一拍v42的低音是七音，后半拍下行半音后又回到这个根音。落点不是主和弦，也不是属和弦。</t>
        </is>
      </c>
      <c r="N12" s="7" t="inlineStr">
        <is>
          <t>v42的五音被前拍延留音代替，低音位置仍是第三转位。两次同构，类型可以确定。</t>
        </is>
      </c>
      <c r="O12" s="6" t="inlineStr">
        <is>
          <t>否</t>
        </is>
      </c>
    </row>
    <row r="13" ht="78" customHeight="1">
      <c r="A13" s="8" t="inlineStr">
        <is>
          <t>C285</t>
        </is>
      </c>
      <c r="B13" s="8" t="inlineStr">
        <is>
          <t>小调</t>
        </is>
      </c>
      <c r="C13" s="9" t="inlineStr">
        <is>
          <t>i – ii7 – iv</t>
        </is>
      </c>
      <c r="D13" s="8" t="inlineStr">
        <is>
          <t>2 → 0</t>
        </is>
      </c>
      <c r="E13" s="8" t="n">
        <v>2</v>
      </c>
      <c r="F13" s="9" t="inlineStr">
        <is>
          <t>第1次: bwv276 D小调 第13句 第23–24小节；第2次: bwv279 E小调 第7句 第12–14小节</t>
        </is>
      </c>
      <c r="G13" s="8" t="inlineStr">
        <is>
          <t>REAL_CADENCE</t>
        </is>
      </c>
      <c r="H13" s="8" t="inlineStr">
        <is>
          <t>KEEP_OTHER</t>
        </is>
      </c>
      <c r="I13" s="8" t="inlineStr">
        <is>
          <t>正确</t>
        </is>
      </c>
      <c r="J13" s="8" t="inlineStr">
        <is>
          <t>部分正确</t>
        </is>
      </c>
      <c r="K13" s="8" t="inlineStr">
        <is>
          <t>部分正确</t>
        </is>
      </c>
      <c r="L13" s="8" t="inlineStr">
        <is>
          <t>中</t>
        </is>
      </c>
      <c r="M13" s="9" t="inlineStr">
        <is>
          <t>D小调与E小调各一次。ii7原位之后落到iv原位，女高音从音级2级进到主音，主音是iv的五音。变格终止应落到主和弦，半终止应落到属和弦，两者都不是。</t>
        </is>
      </c>
      <c r="N13" s="9" t="inlineStr">
        <is>
          <t>bwv279的iv拍点是A–D–E，缺三音C。bwv276的iv后半拍Bb才补上三音。</t>
        </is>
      </c>
      <c r="O13" s="8" t="inlineStr">
        <is>
          <t>否</t>
        </is>
      </c>
    </row>
  </sheetData>
  <dataValidations count="7">
    <dataValidation sqref="G2:G13" showDropDown="0" showInputMessage="0" showErrorMessage="0" allowBlank="1" type="list">
      <formula1>"REAL_CADENCE,SUSPECT-低,SUSPECT-中,SUSPECT-高,NOT_CADENCE"</formula1>
    </dataValidation>
    <dataValidation sqref="H2:H13" showDropDown="0" showInputMessage="0" showErrorMessage="0" allowBlank="1" type="list">
      <formula1>"KEEP_OTHER,RECODE_PAC,RECODE_IAC,RECODE_PC,RECODE_HC,RECODE_DC,RECODE_SECONDARY,RECODE_TONIC,MODULATED,NOT_CADENCE,UNDETERMINED"</formula1>
    </dataValidation>
    <dataValidation sqref="I2:I13" showDropDown="0" showInputMessage="0" showErrorMessage="0" allowBlank="1" type="list">
      <formula1>"正确,部分正确,错误,无法判定"</formula1>
    </dataValidation>
    <dataValidation sqref="J2:J13" showDropDown="0" showInputMessage="0" showErrorMessage="0" allowBlank="1" type="list">
      <formula1>"正确,部分正确,错误,无法判定"</formula1>
    </dataValidation>
    <dataValidation sqref="K2:K13" showDropDown="0" showInputMessage="0" showErrorMessage="0" allowBlank="1" type="list">
      <formula1>"部分正确,错误,无法判定"</formula1>
    </dataValidation>
    <dataValidation sqref="L2:L13" showDropDown="0" showInputMessage="0" showErrorMessage="0" allowBlank="1" type="list">
      <formula1>"高,中,低"</formula1>
    </dataValidation>
    <dataValidation sqref="O2:O1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0" customWidth="1" min="4" max="4"/>
    <col width="7" customWidth="1" min="5" max="5"/>
    <col width="11" customWidth="1" min="6" max="6"/>
    <col width="12" customWidth="1" min="7" max="7"/>
    <col width="9" customWidth="1" min="8" max="8"/>
    <col width="20" customWidth="1" min="9" max="9"/>
    <col width="11" customWidth="1" min="10" max="10"/>
  </cols>
  <sheetData>
    <row r="1">
      <c r="A1" s="5" t="inlineStr">
        <is>
          <t>C 编号</t>
        </is>
      </c>
      <c r="B1" s="5" t="inlineStr">
        <is>
          <t>第几次</t>
        </is>
      </c>
      <c r="C1" s="5" t="inlineStr">
        <is>
          <t>作品</t>
        </is>
      </c>
      <c r="D1" s="5" t="inlineStr">
        <is>
          <t>调</t>
        </is>
      </c>
      <c r="E1" s="5" t="inlineStr">
        <is>
          <t>拍号</t>
        </is>
      </c>
      <c r="F1" s="5" t="inlineStr">
        <is>
          <t>第几句/共</t>
        </is>
      </c>
      <c r="G1" s="5" t="inlineStr">
        <is>
          <t>起止小节</t>
        </is>
      </c>
      <c r="H1" s="5" t="inlineStr">
        <is>
          <t>乐句拍数</t>
        </is>
      </c>
      <c r="I1" s="5" t="inlineStr">
        <is>
          <t>终止窗口和声</t>
        </is>
      </c>
      <c r="J1" s="5" t="inlineStr">
        <is>
          <t>女高音落音</t>
        </is>
      </c>
    </row>
    <row r="2">
      <c r="A2" s="6" t="inlineStr">
        <is>
          <t>C108</t>
        </is>
      </c>
      <c r="B2" s="6" t="n">
        <v>1</v>
      </c>
      <c r="C2" s="6" t="inlineStr">
        <is>
          <t>bwv194.6</t>
        </is>
      </c>
      <c r="D2" s="6" t="inlineStr">
        <is>
          <t>Bb大调</t>
        </is>
      </c>
      <c r="E2" s="6" t="inlineStr">
        <is>
          <t>4/4</t>
        </is>
      </c>
      <c r="F2" s="6" t="inlineStr">
        <is>
          <t>5/6</t>
        </is>
      </c>
      <c r="G2" s="6" t="inlineStr">
        <is>
          <t>第9–11</t>
        </is>
      </c>
      <c r="H2" s="6" t="n">
        <v>9</v>
      </c>
      <c r="I2" s="6" t="inlineStr">
        <is>
          <t>vi6 – IM7 – vi</t>
        </is>
      </c>
      <c r="J2" s="6" t="inlineStr">
        <is>
          <t>4 → 0</t>
        </is>
      </c>
    </row>
    <row r="3">
      <c r="A3" s="8" t="inlineStr">
        <is>
          <t>C108</t>
        </is>
      </c>
      <c r="B3" s="8" t="n">
        <v>2</v>
      </c>
      <c r="C3" s="8" t="inlineStr">
        <is>
          <t>bwv194.6</t>
        </is>
      </c>
      <c r="D3" s="8" t="inlineStr">
        <is>
          <t>Bb大调</t>
        </is>
      </c>
      <c r="E3" s="8" t="inlineStr">
        <is>
          <t>4/4</t>
        </is>
      </c>
      <c r="F3" s="8" t="inlineStr">
        <is>
          <t>5/6</t>
        </is>
      </c>
      <c r="G3" s="8" t="inlineStr">
        <is>
          <t>第9–11</t>
        </is>
      </c>
      <c r="H3" s="8" t="n">
        <v>9</v>
      </c>
      <c r="I3" s="8" t="inlineStr">
        <is>
          <t>vi6 – IM7 – vi</t>
        </is>
      </c>
      <c r="J3" s="8" t="inlineStr">
        <is>
          <t>4 → 0</t>
        </is>
      </c>
    </row>
    <row r="4">
      <c r="A4" s="6" t="inlineStr">
        <is>
          <t>C126</t>
        </is>
      </c>
      <c r="B4" s="6" t="n">
        <v>1</v>
      </c>
      <c r="C4" s="6" t="inlineStr">
        <is>
          <t>bwv362</t>
        </is>
      </c>
      <c r="D4" s="6" t="inlineStr">
        <is>
          <t>Bb大调</t>
        </is>
      </c>
      <c r="E4" s="6" t="inlineStr">
        <is>
          <t>4/4</t>
        </is>
      </c>
      <c r="F4" s="6" t="inlineStr">
        <is>
          <t>3/9</t>
        </is>
      </c>
      <c r="G4" s="6" t="inlineStr">
        <is>
          <t>第4–6</t>
        </is>
      </c>
      <c r="H4" s="6" t="n">
        <v>8</v>
      </c>
      <c r="I4" s="6" t="inlineStr">
        <is>
          <t>vi – v42 – IV</t>
        </is>
      </c>
      <c r="J4" s="6" t="inlineStr">
        <is>
          <t>0 → 0</t>
        </is>
      </c>
    </row>
    <row r="5">
      <c r="A5" s="8" t="inlineStr">
        <is>
          <t>C126</t>
        </is>
      </c>
      <c r="B5" s="8" t="n">
        <v>2</v>
      </c>
      <c r="C5" s="8" t="inlineStr">
        <is>
          <t>bwv362</t>
        </is>
      </c>
      <c r="D5" s="8" t="inlineStr">
        <is>
          <t>Bb大调</t>
        </is>
      </c>
      <c r="E5" s="8" t="inlineStr">
        <is>
          <t>4/4</t>
        </is>
      </c>
      <c r="F5" s="8" t="inlineStr">
        <is>
          <t>5/9</t>
        </is>
      </c>
      <c r="G5" s="8" t="inlineStr">
        <is>
          <t>第8–10</t>
        </is>
      </c>
      <c r="H5" s="8" t="n">
        <v>8</v>
      </c>
      <c r="I5" s="8" t="inlineStr">
        <is>
          <t>vi – v42 – IV</t>
        </is>
      </c>
      <c r="J5" s="8" t="inlineStr">
        <is>
          <t>0 → 0</t>
        </is>
      </c>
    </row>
    <row r="6">
      <c r="A6" s="6" t="inlineStr">
        <is>
          <t>C141</t>
        </is>
      </c>
      <c r="B6" s="6" t="n">
        <v>1</v>
      </c>
      <c r="C6" s="6" t="inlineStr">
        <is>
          <t>bwv325</t>
        </is>
      </c>
      <c r="D6" s="6" t="inlineStr">
        <is>
          <t>F大调</t>
        </is>
      </c>
      <c r="E6" s="6" t="inlineStr">
        <is>
          <t>4/4</t>
        </is>
      </c>
      <c r="F6" s="6" t="inlineStr">
        <is>
          <t>8/10</t>
        </is>
      </c>
      <c r="G6" s="6" t="inlineStr">
        <is>
          <t>第11–12</t>
        </is>
      </c>
      <c r="H6" s="6" t="n">
        <v>4</v>
      </c>
      <c r="I6" s="6" t="inlineStr">
        <is>
          <t>vi65 – V/V – iii</t>
        </is>
      </c>
      <c r="J6" s="6" t="inlineStr">
        <is>
          <t>6 → 7</t>
        </is>
      </c>
    </row>
    <row r="7">
      <c r="A7" s="8" t="inlineStr">
        <is>
          <t>C141</t>
        </is>
      </c>
      <c r="B7" s="8" t="n">
        <v>2</v>
      </c>
      <c r="C7" s="8" t="inlineStr">
        <is>
          <t>bwv325</t>
        </is>
      </c>
      <c r="D7" s="8" t="inlineStr">
        <is>
          <t>F大调</t>
        </is>
      </c>
      <c r="E7" s="8" t="inlineStr">
        <is>
          <t>4/4</t>
        </is>
      </c>
      <c r="F7" s="8" t="inlineStr">
        <is>
          <t>8/10</t>
        </is>
      </c>
      <c r="G7" s="8" t="inlineStr">
        <is>
          <t>第11–12</t>
        </is>
      </c>
      <c r="H7" s="8" t="n">
        <v>4</v>
      </c>
      <c r="I7" s="8" t="inlineStr">
        <is>
          <t>vi65 – V/V – iii</t>
        </is>
      </c>
      <c r="J7" s="8" t="inlineStr">
        <is>
          <t>6 → 7</t>
        </is>
      </c>
    </row>
    <row r="8">
      <c r="A8" s="6" t="inlineStr">
        <is>
          <t>C228</t>
        </is>
      </c>
      <c r="B8" s="6" t="n">
        <v>1</v>
      </c>
      <c r="C8" s="6" t="inlineStr">
        <is>
          <t>bwv103.6</t>
        </is>
      </c>
      <c r="D8" s="6" t="inlineStr">
        <is>
          <t>B小调</t>
        </is>
      </c>
      <c r="E8" s="6" t="inlineStr">
        <is>
          <t>4/4</t>
        </is>
      </c>
      <c r="F8" s="6" t="inlineStr">
        <is>
          <t>5/6</t>
        </is>
      </c>
      <c r="G8" s="6" t="inlineStr">
        <is>
          <t>第8–10</t>
        </is>
      </c>
      <c r="H8" s="6" t="n">
        <v>8</v>
      </c>
      <c r="I8" s="6" t="inlineStr">
        <is>
          <t>III64 – v6 – III</t>
        </is>
      </c>
      <c r="J8" s="6" t="inlineStr">
        <is>
          <t>2 → 3</t>
        </is>
      </c>
    </row>
    <row r="9">
      <c r="A9" s="8" t="inlineStr">
        <is>
          <t>C228</t>
        </is>
      </c>
      <c r="B9" s="8" t="n">
        <v>2</v>
      </c>
      <c r="C9" s="8" t="inlineStr">
        <is>
          <t>bwv103.6</t>
        </is>
      </c>
      <c r="D9" s="8" t="inlineStr">
        <is>
          <t>B小调</t>
        </is>
      </c>
      <c r="E9" s="8" t="inlineStr">
        <is>
          <t>4/4</t>
        </is>
      </c>
      <c r="F9" s="8" t="inlineStr">
        <is>
          <t>5/6</t>
        </is>
      </c>
      <c r="G9" s="8" t="inlineStr">
        <is>
          <t>第8–10</t>
        </is>
      </c>
      <c r="H9" s="8" t="n">
        <v>8</v>
      </c>
      <c r="I9" s="8" t="inlineStr">
        <is>
          <t>III64 – v6 – III</t>
        </is>
      </c>
      <c r="J9" s="8" t="inlineStr">
        <is>
          <t>2 → 3</t>
        </is>
      </c>
    </row>
    <row r="10">
      <c r="A10" s="6" t="inlineStr">
        <is>
          <t>C230</t>
        </is>
      </c>
      <c r="B10" s="6" t="n">
        <v>1</v>
      </c>
      <c r="C10" s="6" t="inlineStr">
        <is>
          <t>bwv366</t>
        </is>
      </c>
      <c r="D10" s="6" t="inlineStr">
        <is>
          <t>D小调</t>
        </is>
      </c>
      <c r="E10" s="6" t="inlineStr">
        <is>
          <t>3/4</t>
        </is>
      </c>
      <c r="F10" s="6" t="inlineStr">
        <is>
          <t>3/4</t>
        </is>
      </c>
      <c r="G10" s="6" t="inlineStr">
        <is>
          <t>第9–12</t>
        </is>
      </c>
      <c r="H10" s="6" t="n">
        <v>12</v>
      </c>
      <c r="I10" s="6" t="inlineStr">
        <is>
          <t>III – III – III</t>
        </is>
      </c>
      <c r="J10" s="6" t="inlineStr">
        <is>
          <t>7 → 7</t>
        </is>
      </c>
    </row>
    <row r="11">
      <c r="A11" s="8" t="inlineStr">
        <is>
          <t>C230</t>
        </is>
      </c>
      <c r="B11" s="8" t="n">
        <v>2</v>
      </c>
      <c r="C11" s="8" t="inlineStr">
        <is>
          <t>bwv272</t>
        </is>
      </c>
      <c r="D11" s="8" t="inlineStr">
        <is>
          <t>D小调</t>
        </is>
      </c>
      <c r="E11" s="8" t="inlineStr">
        <is>
          <t>4/4</t>
        </is>
      </c>
      <c r="F11" s="8" t="inlineStr">
        <is>
          <t>1/6</t>
        </is>
      </c>
      <c r="G11" s="8" t="inlineStr">
        <is>
          <t>第0–2</t>
        </is>
      </c>
      <c r="H11" s="8" t="n">
        <v>8</v>
      </c>
      <c r="I11" s="8" t="inlineStr">
        <is>
          <t>III – III – III</t>
        </is>
      </c>
      <c r="J11" s="8" t="inlineStr">
        <is>
          <t>7 → 7</t>
        </is>
      </c>
    </row>
    <row r="12">
      <c r="A12" s="6" t="inlineStr">
        <is>
          <t>C233</t>
        </is>
      </c>
      <c r="B12" s="6" t="n">
        <v>1</v>
      </c>
      <c r="C12" s="6" t="inlineStr">
        <is>
          <t>bwv276</t>
        </is>
      </c>
      <c r="D12" s="6" t="inlineStr">
        <is>
          <t>D小调</t>
        </is>
      </c>
      <c r="E12" s="6" t="inlineStr">
        <is>
          <t>4/4</t>
        </is>
      </c>
      <c r="F12" s="6" t="inlineStr">
        <is>
          <t>8/16</t>
        </is>
      </c>
      <c r="G12" s="6" t="inlineStr">
        <is>
          <t>第14–16</t>
        </is>
      </c>
      <c r="H12" s="6" t="n">
        <v>8</v>
      </c>
      <c r="I12" s="6" t="inlineStr">
        <is>
          <t>III6 – IV42 – III</t>
        </is>
      </c>
      <c r="J12" s="6" t="inlineStr">
        <is>
          <t>5 → 7</t>
        </is>
      </c>
    </row>
    <row r="13">
      <c r="A13" s="8" t="inlineStr">
        <is>
          <t>C233</t>
        </is>
      </c>
      <c r="B13" s="8" t="n">
        <v>2</v>
      </c>
      <c r="C13" s="8" t="inlineStr">
        <is>
          <t>bwv412</t>
        </is>
      </c>
      <c r="D13" s="8" t="inlineStr">
        <is>
          <t>G小调</t>
        </is>
      </c>
      <c r="E13" s="8" t="inlineStr">
        <is>
          <t>4/4</t>
        </is>
      </c>
      <c r="F13" s="8" t="inlineStr">
        <is>
          <t>6/9</t>
        </is>
      </c>
      <c r="G13" s="8" t="inlineStr">
        <is>
          <t>第9–10</t>
        </is>
      </c>
      <c r="H13" s="8" t="n">
        <v>4</v>
      </c>
      <c r="I13" s="8" t="inlineStr">
        <is>
          <t>III6 – IV42 – III</t>
        </is>
      </c>
      <c r="J13" s="8" t="inlineStr">
        <is>
          <t>5 → 7</t>
        </is>
      </c>
    </row>
    <row r="14">
      <c r="A14" s="6" t="inlineStr">
        <is>
          <t>C261</t>
        </is>
      </c>
      <c r="B14" s="6" t="n">
        <v>1</v>
      </c>
      <c r="C14" s="6" t="inlineStr">
        <is>
          <t>bwv28.6</t>
        </is>
      </c>
      <c r="D14" s="6" t="inlineStr">
        <is>
          <t>A小调</t>
        </is>
      </c>
      <c r="E14" s="6" t="inlineStr">
        <is>
          <t>4/4</t>
        </is>
      </c>
      <c r="F14" s="6" t="inlineStr">
        <is>
          <t>1/6</t>
        </is>
      </c>
      <c r="G14" s="6" t="inlineStr">
        <is>
          <t>第0–2</t>
        </is>
      </c>
      <c r="H14" s="6" t="n">
        <v>8</v>
      </c>
      <c r="I14" s="6" t="inlineStr">
        <is>
          <t>VII – VII – VII</t>
        </is>
      </c>
      <c r="J14" s="6" t="inlineStr">
        <is>
          <t>2 → 5</t>
        </is>
      </c>
    </row>
    <row r="15">
      <c r="A15" s="8" t="inlineStr">
        <is>
          <t>C261</t>
        </is>
      </c>
      <c r="B15" s="8" t="n">
        <v>2</v>
      </c>
      <c r="C15" s="8" t="inlineStr">
        <is>
          <t>bwv28.6</t>
        </is>
      </c>
      <c r="D15" s="8" t="inlineStr">
        <is>
          <t>A小调</t>
        </is>
      </c>
      <c r="E15" s="8" t="inlineStr">
        <is>
          <t>4/4</t>
        </is>
      </c>
      <c r="F15" s="8" t="inlineStr">
        <is>
          <t>1/6</t>
        </is>
      </c>
      <c r="G15" s="8" t="inlineStr">
        <is>
          <t>第0–2</t>
        </is>
      </c>
      <c r="H15" s="8" t="n">
        <v>8</v>
      </c>
      <c r="I15" s="8" t="inlineStr">
        <is>
          <t>VII – VII – VII</t>
        </is>
      </c>
      <c r="J15" s="8" t="inlineStr">
        <is>
          <t>2 → 5</t>
        </is>
      </c>
    </row>
    <row r="16">
      <c r="A16" s="6" t="inlineStr">
        <is>
          <t>C265</t>
        </is>
      </c>
      <c r="B16" s="6" t="n">
        <v>1</v>
      </c>
      <c r="C16" s="6" t="inlineStr">
        <is>
          <t>bwv334</t>
        </is>
      </c>
      <c r="D16" s="6" t="inlineStr">
        <is>
          <t>G小调</t>
        </is>
      </c>
      <c r="E16" s="6" t="inlineStr">
        <is>
          <t>4/4</t>
        </is>
      </c>
      <c r="F16" s="6" t="inlineStr">
        <is>
          <t>4/5</t>
        </is>
      </c>
      <c r="G16" s="6" t="inlineStr">
        <is>
          <t>第6–8</t>
        </is>
      </c>
      <c r="H16" s="6" t="n">
        <v>8</v>
      </c>
      <c r="I16" s="6" t="inlineStr">
        <is>
          <t>v – i65 – VII</t>
        </is>
      </c>
      <c r="J16" s="6" t="inlineStr">
        <is>
          <t>0 → 2</t>
        </is>
      </c>
    </row>
    <row r="17">
      <c r="A17" s="8" t="inlineStr">
        <is>
          <t>C265</t>
        </is>
      </c>
      <c r="B17" s="8" t="n">
        <v>2</v>
      </c>
      <c r="C17" s="8" t="inlineStr">
        <is>
          <t>bwv341</t>
        </is>
      </c>
      <c r="D17" s="8" t="inlineStr">
        <is>
          <t>G小调</t>
        </is>
      </c>
      <c r="E17" s="8" t="inlineStr">
        <is>
          <t>4/4</t>
        </is>
      </c>
      <c r="F17" s="8" t="inlineStr">
        <is>
          <t>1/5</t>
        </is>
      </c>
      <c r="G17" s="8" t="inlineStr">
        <is>
          <t>第0–1</t>
        </is>
      </c>
      <c r="H17" s="8" t="n">
        <v>4</v>
      </c>
      <c r="I17" s="8" t="inlineStr">
        <is>
          <t>v – i65 – VII</t>
        </is>
      </c>
      <c r="J17" s="8" t="inlineStr">
        <is>
          <t>0 → 2</t>
        </is>
      </c>
    </row>
    <row r="18">
      <c r="A18" s="6" t="inlineStr">
        <is>
          <t>C268</t>
        </is>
      </c>
      <c r="B18" s="6" t="n">
        <v>1</v>
      </c>
      <c r="C18" s="6" t="inlineStr">
        <is>
          <t>bwv103.6</t>
        </is>
      </c>
      <c r="D18" s="6" t="inlineStr">
        <is>
          <t>B小调</t>
        </is>
      </c>
      <c r="E18" s="6" t="inlineStr">
        <is>
          <t>4/4</t>
        </is>
      </c>
      <c r="F18" s="6" t="inlineStr">
        <is>
          <t>3/6</t>
        </is>
      </c>
      <c r="G18" s="6" t="inlineStr">
        <is>
          <t>第4–6</t>
        </is>
      </c>
      <c r="H18" s="6" t="n">
        <v>8</v>
      </c>
      <c r="I18" s="6" t="inlineStr">
        <is>
          <t>iv – ii6 – VII</t>
        </is>
      </c>
      <c r="J18" s="6" t="inlineStr">
        <is>
          <t>9 → 10</t>
        </is>
      </c>
    </row>
    <row r="19">
      <c r="A19" s="8" t="inlineStr">
        <is>
          <t>C268</t>
        </is>
      </c>
      <c r="B19" s="8" t="n">
        <v>2</v>
      </c>
      <c r="C19" s="8" t="inlineStr">
        <is>
          <t>bwv103.6</t>
        </is>
      </c>
      <c r="D19" s="8" t="inlineStr">
        <is>
          <t>B小调</t>
        </is>
      </c>
      <c r="E19" s="8" t="inlineStr">
        <is>
          <t>4/4</t>
        </is>
      </c>
      <c r="F19" s="8" t="inlineStr">
        <is>
          <t>3/6</t>
        </is>
      </c>
      <c r="G19" s="8" t="inlineStr">
        <is>
          <t>第4–6</t>
        </is>
      </c>
      <c r="H19" s="8" t="n">
        <v>8</v>
      </c>
      <c r="I19" s="8" t="inlineStr">
        <is>
          <t>iv – ii6 – VII</t>
        </is>
      </c>
      <c r="J19" s="8" t="inlineStr">
        <is>
          <t>9 → 10</t>
        </is>
      </c>
    </row>
    <row r="20">
      <c r="A20" s="6" t="inlineStr">
        <is>
          <t>C276</t>
        </is>
      </c>
      <c r="B20" s="6" t="n">
        <v>1</v>
      </c>
      <c r="C20" s="6" t="inlineStr">
        <is>
          <t>bwv437</t>
        </is>
      </c>
      <c r="D20" s="6" t="inlineStr">
        <is>
          <t>D小调</t>
        </is>
      </c>
      <c r="E20" s="6" t="inlineStr">
        <is>
          <t>4/4</t>
        </is>
      </c>
      <c r="F20" s="6" t="inlineStr">
        <is>
          <t>12/13</t>
        </is>
      </c>
      <c r="G20" s="6" t="inlineStr">
        <is>
          <t>第26–27</t>
        </is>
      </c>
      <c r="H20" s="6" t="n">
        <v>4</v>
      </c>
      <c r="I20" s="6" t="inlineStr">
        <is>
          <t>i – iiø65 – VI</t>
        </is>
      </c>
      <c r="J20" s="6" t="inlineStr">
        <is>
          <t>2 → 0</t>
        </is>
      </c>
    </row>
    <row r="21">
      <c r="A21" s="8" t="inlineStr">
        <is>
          <t>C276</t>
        </is>
      </c>
      <c r="B21" s="8" t="n">
        <v>2</v>
      </c>
      <c r="C21" s="8" t="inlineStr">
        <is>
          <t>bwv284</t>
        </is>
      </c>
      <c r="D21" s="8" t="inlineStr">
        <is>
          <t>G小调</t>
        </is>
      </c>
      <c r="E21" s="8" t="inlineStr">
        <is>
          <t>4/4</t>
        </is>
      </c>
      <c r="F21" s="8" t="inlineStr">
        <is>
          <t>6/8</t>
        </is>
      </c>
      <c r="G21" s="8" t="inlineStr">
        <is>
          <t>第10–11</t>
        </is>
      </c>
      <c r="H21" s="8" t="n">
        <v>5</v>
      </c>
      <c r="I21" s="8" t="inlineStr">
        <is>
          <t>i – iiø65 – VI</t>
        </is>
      </c>
      <c r="J21" s="8" t="inlineStr">
        <is>
          <t>2 → 0</t>
        </is>
      </c>
    </row>
    <row r="22">
      <c r="A22" s="6" t="inlineStr">
        <is>
          <t>C276</t>
        </is>
      </c>
      <c r="B22" s="6" t="n">
        <v>3</v>
      </c>
      <c r="C22" s="6" t="inlineStr">
        <is>
          <t>bwv312</t>
        </is>
      </c>
      <c r="D22" s="6" t="inlineStr">
        <is>
          <t>A小调</t>
        </is>
      </c>
      <c r="E22" s="6" t="inlineStr">
        <is>
          <t>4/4</t>
        </is>
      </c>
      <c r="F22" s="6" t="inlineStr">
        <is>
          <t>6/7</t>
        </is>
      </c>
      <c r="G22" s="6" t="inlineStr">
        <is>
          <t>第11–13</t>
        </is>
      </c>
      <c r="H22" s="6" t="n">
        <v>8</v>
      </c>
      <c r="I22" s="6" t="inlineStr">
        <is>
          <t>i – iiø65 – VI</t>
        </is>
      </c>
      <c r="J22" s="6" t="inlineStr">
        <is>
          <t>2 → 0</t>
        </is>
      </c>
    </row>
    <row r="23">
      <c r="A23" s="8" t="inlineStr">
        <is>
          <t>C282</t>
        </is>
      </c>
      <c r="B23" s="8" t="n">
        <v>1</v>
      </c>
      <c r="C23" s="8" t="inlineStr">
        <is>
          <t>bwv33.6</t>
        </is>
      </c>
      <c r="D23" s="8" t="inlineStr">
        <is>
          <t>A小调</t>
        </is>
      </c>
      <c r="E23" s="8" t="inlineStr">
        <is>
          <t>4/4</t>
        </is>
      </c>
      <c r="F23" s="8" t="inlineStr">
        <is>
          <t>3/7</t>
        </is>
      </c>
      <c r="G23" s="8" t="inlineStr">
        <is>
          <t>第6–8</t>
        </is>
      </c>
      <c r="H23" s="8" t="n">
        <v>8</v>
      </c>
      <c r="I23" s="8" t="inlineStr">
        <is>
          <t>iv6 – v42 – iv</t>
        </is>
      </c>
      <c r="J23" s="8" t="inlineStr">
        <is>
          <t>7 → 0</t>
        </is>
      </c>
    </row>
    <row r="24">
      <c r="A24" s="6" t="inlineStr">
        <is>
          <t>C282</t>
        </is>
      </c>
      <c r="B24" s="6" t="n">
        <v>2</v>
      </c>
      <c r="C24" s="6" t="inlineStr">
        <is>
          <t>bwv261</t>
        </is>
      </c>
      <c r="D24" s="6" t="inlineStr">
        <is>
          <t>B小调</t>
        </is>
      </c>
      <c r="E24" s="6" t="inlineStr">
        <is>
          <t>4/4</t>
        </is>
      </c>
      <c r="F24" s="6" t="inlineStr">
        <is>
          <t>4/6</t>
        </is>
      </c>
      <c r="G24" s="6" t="inlineStr">
        <is>
          <t>第9–12</t>
        </is>
      </c>
      <c r="H24" s="6" t="n">
        <v>8</v>
      </c>
      <c r="I24" s="6" t="inlineStr">
        <is>
          <t>iv6 – v42 – iv</t>
        </is>
      </c>
      <c r="J24" s="6" t="inlineStr">
        <is>
          <t>7 → 0</t>
        </is>
      </c>
    </row>
    <row r="25">
      <c r="A25" s="8" t="inlineStr">
        <is>
          <t>C285</t>
        </is>
      </c>
      <c r="B25" s="8" t="n">
        <v>1</v>
      </c>
      <c r="C25" s="8" t="inlineStr">
        <is>
          <t>bwv276</t>
        </is>
      </c>
      <c r="D25" s="8" t="inlineStr">
        <is>
          <t>D小调</t>
        </is>
      </c>
      <c r="E25" s="8" t="inlineStr">
        <is>
          <t>4/4</t>
        </is>
      </c>
      <c r="F25" s="8" t="inlineStr">
        <is>
          <t>13/16</t>
        </is>
      </c>
      <c r="G25" s="8" t="inlineStr">
        <is>
          <t>第23–24</t>
        </is>
      </c>
      <c r="H25" s="8" t="n">
        <v>4</v>
      </c>
      <c r="I25" s="8" t="inlineStr">
        <is>
          <t>i – ii7 – iv</t>
        </is>
      </c>
      <c r="J25" s="8" t="inlineStr">
        <is>
          <t>2 → 0</t>
        </is>
      </c>
    </row>
    <row r="26">
      <c r="A26" s="6" t="inlineStr">
        <is>
          <t>C285</t>
        </is>
      </c>
      <c r="B26" s="6" t="n">
        <v>2</v>
      </c>
      <c r="C26" s="6" t="inlineStr">
        <is>
          <t>bwv279</t>
        </is>
      </c>
      <c r="D26" s="6" t="inlineStr">
        <is>
          <t>E小调</t>
        </is>
      </c>
      <c r="E26" s="6" t="inlineStr">
        <is>
          <t>4/4</t>
        </is>
      </c>
      <c r="F26" s="6" t="inlineStr">
        <is>
          <t>7/8</t>
        </is>
      </c>
      <c r="G26" s="6" t="inlineStr">
        <is>
          <t>第12–14</t>
        </is>
      </c>
      <c r="H26" s="6" t="n">
        <v>8</v>
      </c>
      <c r="I26" s="6" t="inlineStr">
        <is>
          <t>i – ii7 – iv</t>
        </is>
      </c>
      <c r="J26" s="6" t="inlineStr">
        <is>
          <t>2 →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2026-10-07T02:26:20Z</dcterms:created>
  <dcterms:modified xsi:type="dcterms:W3CDTF">2026-10-07T03:04:43Z</dcterms:modified>
</cp:coreProperties>
</file>