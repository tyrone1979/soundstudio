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评分表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1F3864"/>
      <sz val="11"/>
    </font>
    <font>
      <b val="1"/>
      <sz val="10"/>
    </font>
    <font>
      <b val="1"/>
      <color rgb="00FFFFFF"/>
      <sz val="10"/>
    </font>
    <font>
      <b val="1"/>
      <sz val="11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96" customWidth="1" min="3" max="3"/>
  </cols>
  <sheetData>
    <row r="1">
      <c r="B1" s="1" t="inlineStr">
        <is>
          <t>生成质量双盲评审 · 一页说明</t>
        </is>
      </c>
    </row>
    <row r="3">
      <c r="B3" s="2" t="inlineStr">
        <is>
          <t>你在评什么</t>
        </is>
      </c>
    </row>
    <row r="4" ht="30" customHeight="1">
      <c r="B4" s="3" t="inlineStr">
        <is>
          <t>评审对象</t>
        </is>
      </c>
      <c r="C4" s="4" t="inlineStr">
        <is>
          <t>docs/blind_review/生成质量盲评乐谱.pdf 里的 20 个匿名片段，每首都是**完整的**四声部众赞歌（SATB、无歌词），长度 13–22 小节不等（长度不构成线索，两组的长度分布相同）。</t>
        </is>
      </c>
    </row>
    <row r="5" ht="30" customHeight="1">
      <c r="B5" s="3" t="inlineStr">
        <is>
          <t>混合来源</t>
        </is>
      </c>
      <c r="C5" s="4" t="inlineStr">
        <is>
          <t>这批片段里有本系统生成��作品，也有人工作品（同体裁、同风格的时代作品），**配比不公布**。编号 A01–Axx 与来源无关，次序已随机打乱。</t>
        </is>
      </c>
    </row>
    <row r="6" ht="30" customHeight="1">
      <c r="B6" s="3" t="inlineStr">
        <is>
          <t>你要做两件事</t>
        </is>
      </c>
      <c r="C6" s="4" t="inlineStr">
        <is>
          <t>① 按 7 个维度给每个片段打 1–5 分；② 猜它是不是人工作品，并给置信度。</t>
        </is>
      </c>
    </row>
    <row r="7" ht="30" customHeight="1">
      <c r="B7" s="3" t="inlineStr">
        <is>
          <t>时间</t>
        </is>
      </c>
      <c r="C7" s="4" t="inlineStr">
        <is>
          <t>每条约 2–4 分钟，全程约 1 小时。可分工：按编号段拆分，但每人必须独立盲评。</t>
        </is>
      </c>
    </row>
    <row r="8" ht="30" customHeight="1">
      <c r="B8" s="3" t="inlineStr">
        <is>
          <t>配套音频</t>
        </is>
      </c>
      <c r="C8" s="4" t="inlineStr">
        <is>
          <t>docs/blind_review/audio/ 下有同名 MIDI/WAV，可以先听再看谱，或只看谱。两种模态各评一次会更稳。</t>
        </is>
      </c>
    </row>
    <row r="9">
      <c r="B9" s="2" t="inlineStr">
        <is>
          <t>7 个打分维度（1–5 分）</t>
        </is>
      </c>
    </row>
    <row r="10" ht="30" customHeight="1">
      <c r="B10" s="3" t="inlineStr">
        <is>
          <t>D1 旋律可记性</t>
        </is>
      </c>
      <c r="C10" s="4" t="inlineStr">
        <is>
          <t>1=完全无印象 3=有一句顺口 5=哼得出来</t>
        </is>
      </c>
    </row>
    <row r="11" ht="30" customHeight="1">
      <c r="B11" s="3" t="inlineStr">
        <is>
          <t>D2 乐句呼吸</t>
        </is>
      </c>
      <c r="C11" s="4" t="inlineStr">
        <is>
          <t>1=通篇平铺无句读 3=句读可辨但不自然 5=呼吸自然、句法分明</t>
        </is>
      </c>
    </row>
    <row r="12" ht="30" customHeight="1">
      <c r="B12" s="3" t="inlineStr">
        <is>
          <t>D3 和声功能清晰</t>
        </is>
      </c>
      <c r="C12" s="4" t="inlineStr">
        <is>
          <t>1=功能和声崩坏 3=大体可行但有怪处 5=功能清晰、进行可信</t>
        </is>
      </c>
    </row>
    <row r="13" ht="30" customHeight="1">
      <c r="B13" s="3" t="inlineStr">
        <is>
          <t>D4 织体主次</t>
        </is>
      </c>
      <c r="C13" s="4" t="inlineStr">
        <is>
          <t>1=四声部各自为政 3=主次基本清楚 5=主旋律与内声部层次分明</t>
        </is>
      </c>
    </row>
    <row r="14" ht="30" customHeight="1">
      <c r="B14" s="3" t="inlineStr">
        <is>
          <t>D5 体裁辨识度</t>
        </is>
      </c>
      <c r="C14" s="4" t="inlineStr">
        <is>
          <t>1=不像众赞歌 3=勉强像 5=一听就是十八世纪四部和声众赞歌</t>
        </is>
      </c>
    </row>
    <row r="15" ht="30" customHeight="1">
      <c r="B15" s="3" t="inlineStr">
        <is>
          <t>D6 终止式说服力</t>
        </is>
      </c>
      <c r="C15" s="4" t="inlineStr">
        <is>
          <t>1=句尾站不住、看不出终止 3=有终止但说服力弱 5=终止式明确可信</t>
        </is>
      </c>
    </row>
    <row r="16" ht="30" customHeight="1">
      <c r="B16" s="3" t="inlineStr">
        <is>
          <t>D7 声部进行正确性</t>
        </is>
      </c>
      <c r="C16" s="4" t="inlineStr">
        <is>
          <t>1=多处平行五八、声部交叉或超八度 3=偶有瑕疵 5=通篇合规</t>
        </is>
      </c>
    </row>
    <row r="17">
      <c r="B17" s="2" t="inlineStr">
        <is>
          <t>猜来源</t>
        </is>
      </c>
    </row>
    <row r="18" ht="30" customHeight="1">
      <c r="B18" s="3" t="inlineStr">
        <is>
          <t>是否人工作品</t>
        </is>
      </c>
      <c r="C18" s="4" t="inlineStr">
        <is>
          <t>人工作品 / 机器作品 / 不确定。为了使这一列有信息量，没把握就选「不确定」，不要每题都猜。</t>
        </is>
      </c>
    </row>
    <row r="19" ht="30" customHeight="1">
      <c r="B19" s="3" t="inlineStr">
        <is>
          <t>置信度</t>
        </is>
      </c>
      <c r="C19" s="4" t="inlineStr">
        <is>
          <t>1=纯蒙　3=有点感觉　5=非常有把握。</t>
        </is>
      </c>
    </row>
    <row r="20">
      <c r="B20" s="2" t="inlineStr">
        <is>
          <t>四条规矩</t>
        </is>
      </c>
    </row>
    <row r="21" ht="30" customHeight="1">
      <c r="B21" s="3" t="inlineStr">
        <is>
          <t>① 不要试图查出处</t>
        </is>
      </c>
      <c r="C21" s="4" t="inlineStr">
        <is>
          <t>不要去搜这段旋律、不要翻乐谱集、不要问别人。凭耳朵和眼睛。</t>
        </is>
      </c>
    </row>
    <row r="22" ht="30" customHeight="1">
      <c r="B22" s="3" t="inlineStr">
        <is>
          <t>② 备注必须引用谱面</t>
        </is>
      </c>
      <c r="C22" s="4" t="inlineStr">
        <is>
          <t>写明具体的成败之处，例如「第 5–6 小节女高与男高平行五度」「第 8 小节 V–i 但女高音落 5，不是完全正格终止」。只写「听起来怪」无效。</t>
        </is>
      </c>
    </row>
    <row r="23" ht="30" customHeight="1">
      <c r="B23" s="3" t="inlineStr">
        <is>
          <t>③ 质量与来源要分开</t>
        </is>
      </c>
      <c r="C23" s="4" t="inlineStr">
        <is>
          <t>打分评的是音乐本身好不好；猜来源评的是像不像人写的。两件事分开——机器作品也可能写得很好。</t>
        </is>
      </c>
    </row>
    <row r="24" ht="30" customHeight="1">
      <c r="B24" s="3" t="inlineStr">
        <is>
          <t>④ 别被编排痕迹误导</t>
        </is>
      </c>
      <c r="C24" s="4" t="inlineStr">
        <is>
          <t>所有片段已统一去掉标题、延长记号、歌词、反复记号，统一了谱号、声部名与音色。这些痕迹不能用来判断来源。</t>
        </is>
      </c>
    </row>
    <row r="25" ht="30" customHeight="1">
      <c r="B25" s="3" t="inlineStr">
        <is>
          <t>⑤ 每首都是完整的一首</t>
        </is>
      </c>
      <c r="C25" s="4" t="inlineStr">
        <is>
          <t>没有中途截断的片段：开头是第一完整小节，结尾停在原位主和弦，四声部都唱到最后。「看不完整」不是判断来源的依据。</t>
        </is>
      </c>
    </row>
    <row r="26">
      <c r="B26" s="2" t="inlineStr">
        <is>
          <t>多人怎么合</t>
        </is>
      </c>
    </row>
    <row r="27" ht="30" customHeight="1">
      <c r="B27" s="3" t="inlineStr">
        <is>
          <t>流程</t>
        </is>
      </c>
      <c r="C27" s="4" t="inlineStr">
        <is>
          <t>两人各自盲评全部 20 条 → 逐维度算平均绝对差；差值 &gt;1 分的维度交换理由后重评；仍不一致则取均值并在备注标注分歧。</t>
        </is>
      </c>
    </row>
    <row r="28" ht="30" customHeight="1">
      <c r="B28" s="3" t="inlineStr">
        <is>
          <t>怎么读结果</t>
        </is>
      </c>
      <c r="C28" s="4" t="inlineStr">
        <is>
          <t>① 机器组的七个维度均分是否显著低于人类组；② 「猜来源」的命中率是否高于随机。若两者都接近随机，说明该体裁上机器产出已难以与人工作品区分。</t>
        </is>
      </c>
    </row>
    <row r="29" ht="30" customHeight="1">
      <c r="B29" s="3" t="inlineStr">
        <is>
          <t>交付</t>
        </is>
      </c>
      <c r="C29" s="4" t="inlineStr">
        <is>
          <t>填好的 生成质量盲评表.xlsx（每行必填；备注列不得留空）。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8" customWidth="1" min="9" max="9"/>
    <col width="13" customWidth="1" min="10" max="10"/>
    <col width="8" customWidth="1" min="11" max="11"/>
    <col width="52" customWidth="1" min="12" max="12"/>
  </cols>
  <sheetData>
    <row r="1" ht="40" customHeight="1">
      <c r="A1" s="5" t="inlineStr">
        <is>
          <t>编号</t>
        </is>
      </c>
      <c r="B1" s="5" t="inlineStr">
        <is>
          <t>D1 旋律可记性</t>
        </is>
      </c>
      <c r="C1" s="5" t="inlineStr">
        <is>
          <t>D2 乐句呼吸</t>
        </is>
      </c>
      <c r="D1" s="5" t="inlineStr">
        <is>
          <t>D3 和声功能清晰</t>
        </is>
      </c>
      <c r="E1" s="5" t="inlineStr">
        <is>
          <t>D4 织体主次</t>
        </is>
      </c>
      <c r="F1" s="5" t="inlineStr">
        <is>
          <t>D5 体裁辨识度</t>
        </is>
      </c>
      <c r="G1" s="5" t="inlineStr">
        <is>
          <t>D6 终止式说服力</t>
        </is>
      </c>
      <c r="H1" s="5" t="inlineStr">
        <is>
          <t>D7 声部进行正确性</t>
        </is>
      </c>
      <c r="I1" s="5" t="inlineStr">
        <is>
          <t>平均分</t>
        </is>
      </c>
      <c r="J1" s="5" t="inlineStr">
        <is>
          <t>是否人工作品</t>
        </is>
      </c>
      <c r="K1" s="5" t="inlineStr">
        <is>
          <t>置信度</t>
        </is>
      </c>
      <c r="L1" s="5" t="inlineStr">
        <is>
          <t>备注（必须引用谱面具体小节）</t>
        </is>
      </c>
    </row>
    <row r="2" ht="30" customHeight="1">
      <c r="A2" s="6" t="inlineStr">
        <is>
          <t>A01</t>
        </is>
      </c>
      <c r="B2" s="6" t="n"/>
      <c r="C2" s="6" t="n"/>
      <c r="D2" s="6" t="n"/>
      <c r="E2" s="6" t="n"/>
      <c r="F2" s="6" t="n"/>
      <c r="G2" s="6" t="n"/>
      <c r="H2" s="6" t="n"/>
      <c r="I2" s="6">
        <f>IF(COUNT(B2:H2)=7,ROUND(AVERAGE(B2:H2),2),"")</f>
        <v/>
      </c>
      <c r="J2" s="6" t="n"/>
      <c r="K2" s="6" t="n"/>
    </row>
    <row r="3" ht="30" customHeight="1">
      <c r="A3" s="7" t="inlineStr">
        <is>
          <t>A02</t>
        </is>
      </c>
      <c r="B3" s="7" t="n"/>
      <c r="C3" s="7" t="n"/>
      <c r="D3" s="7" t="n"/>
      <c r="E3" s="7" t="n"/>
      <c r="F3" s="7" t="n"/>
      <c r="G3" s="7" t="n"/>
      <c r="H3" s="7" t="n"/>
      <c r="I3" s="7">
        <f>IF(COUNT(B3:H3)=7,ROUND(AVERAGE(B3:H3),2),"")</f>
        <v/>
      </c>
      <c r="J3" s="7" t="n"/>
      <c r="K3" s="7" t="n"/>
    </row>
    <row r="4" ht="30" customHeight="1">
      <c r="A4" s="6" t="inlineStr">
        <is>
          <t>A03</t>
        </is>
      </c>
      <c r="B4" s="6" t="n"/>
      <c r="C4" s="6" t="n"/>
      <c r="D4" s="6" t="n"/>
      <c r="E4" s="6" t="n"/>
      <c r="F4" s="6" t="n"/>
      <c r="G4" s="6" t="n"/>
      <c r="H4" s="6" t="n"/>
      <c r="I4" s="6">
        <f>IF(COUNT(B4:H4)=7,ROUND(AVERAGE(B4:H4),2),"")</f>
        <v/>
      </c>
      <c r="J4" s="6" t="n"/>
      <c r="K4" s="6" t="n"/>
    </row>
    <row r="5" ht="30" customHeight="1">
      <c r="A5" s="7" t="inlineStr">
        <is>
          <t>A04</t>
        </is>
      </c>
      <c r="B5" s="7" t="n"/>
      <c r="C5" s="7" t="n"/>
      <c r="D5" s="7" t="n"/>
      <c r="E5" s="7" t="n"/>
      <c r="F5" s="7" t="n"/>
      <c r="G5" s="7" t="n"/>
      <c r="H5" s="7" t="n"/>
      <c r="I5" s="7">
        <f>IF(COUNT(B5:H5)=7,ROUND(AVERAGE(B5:H5),2),"")</f>
        <v/>
      </c>
      <c r="J5" s="7" t="n"/>
      <c r="K5" s="7" t="n"/>
    </row>
    <row r="6" ht="30" customHeight="1">
      <c r="A6" s="6" t="inlineStr">
        <is>
          <t>A05</t>
        </is>
      </c>
      <c r="B6" s="6" t="n"/>
      <c r="C6" s="6" t="n"/>
      <c r="D6" s="6" t="n"/>
      <c r="E6" s="6" t="n"/>
      <c r="F6" s="6" t="n"/>
      <c r="G6" s="6" t="n"/>
      <c r="H6" s="6" t="n"/>
      <c r="I6" s="6">
        <f>IF(COUNT(B6:H6)=7,ROUND(AVERAGE(B6:H6),2),"")</f>
        <v/>
      </c>
      <c r="J6" s="6" t="n"/>
      <c r="K6" s="6" t="n"/>
    </row>
    <row r="7" ht="30" customHeight="1">
      <c r="A7" s="7" t="inlineStr">
        <is>
          <t>A06</t>
        </is>
      </c>
      <c r="B7" s="7" t="n"/>
      <c r="C7" s="7" t="n"/>
      <c r="D7" s="7" t="n"/>
      <c r="E7" s="7" t="n"/>
      <c r="F7" s="7" t="n"/>
      <c r="G7" s="7" t="n"/>
      <c r="H7" s="7" t="n"/>
      <c r="I7" s="7">
        <f>IF(COUNT(B7:H7)=7,ROUND(AVERAGE(B7:H7),2),"")</f>
        <v/>
      </c>
      <c r="J7" s="7" t="n"/>
      <c r="K7" s="7" t="n"/>
    </row>
    <row r="8" ht="30" customHeight="1">
      <c r="A8" s="6" t="inlineStr">
        <is>
          <t>A07</t>
        </is>
      </c>
      <c r="B8" s="6" t="n"/>
      <c r="C8" s="6" t="n"/>
      <c r="D8" s="6" t="n"/>
      <c r="E8" s="6" t="n"/>
      <c r="F8" s="6" t="n"/>
      <c r="G8" s="6" t="n"/>
      <c r="H8" s="6" t="n"/>
      <c r="I8" s="6">
        <f>IF(COUNT(B8:H8)=7,ROUND(AVERAGE(B8:H8),2),"")</f>
        <v/>
      </c>
      <c r="J8" s="6" t="n"/>
      <c r="K8" s="6" t="n"/>
    </row>
    <row r="9" ht="30" customHeight="1">
      <c r="A9" s="7" t="inlineStr">
        <is>
          <t>A08</t>
        </is>
      </c>
      <c r="B9" s="7" t="n"/>
      <c r="C9" s="7" t="n"/>
      <c r="D9" s="7" t="n"/>
      <c r="E9" s="7" t="n"/>
      <c r="F9" s="7" t="n"/>
      <c r="G9" s="7" t="n"/>
      <c r="H9" s="7" t="n"/>
      <c r="I9" s="7">
        <f>IF(COUNT(B9:H9)=7,ROUND(AVERAGE(B9:H9),2),"")</f>
        <v/>
      </c>
      <c r="J9" s="7" t="n"/>
      <c r="K9" s="7" t="n"/>
    </row>
    <row r="10" ht="30" customHeight="1">
      <c r="A10" s="6" t="inlineStr">
        <is>
          <t>A09</t>
        </is>
      </c>
      <c r="B10" s="6" t="n"/>
      <c r="C10" s="6" t="n"/>
      <c r="D10" s="6" t="n"/>
      <c r="E10" s="6" t="n"/>
      <c r="F10" s="6" t="n"/>
      <c r="G10" s="6" t="n"/>
      <c r="H10" s="6" t="n"/>
      <c r="I10" s="6">
        <f>IF(COUNT(B10:H10)=7,ROUND(AVERAGE(B10:H10),2),"")</f>
        <v/>
      </c>
      <c r="J10" s="6" t="n"/>
      <c r="K10" s="6" t="n"/>
    </row>
    <row r="11" ht="30" customHeight="1">
      <c r="A11" s="7" t="inlineStr">
        <is>
          <t>A10</t>
        </is>
      </c>
      <c r="B11" s="7" t="n"/>
      <c r="C11" s="7" t="n"/>
      <c r="D11" s="7" t="n"/>
      <c r="E11" s="7" t="n"/>
      <c r="F11" s="7" t="n"/>
      <c r="G11" s="7" t="n"/>
      <c r="H11" s="7" t="n"/>
      <c r="I11" s="7">
        <f>IF(COUNT(B11:H11)=7,ROUND(AVERAGE(B11:H11),2),"")</f>
        <v/>
      </c>
      <c r="J11" s="7" t="n"/>
      <c r="K11" s="7" t="n"/>
    </row>
    <row r="12" ht="30" customHeight="1">
      <c r="A12" s="6" t="inlineStr">
        <is>
          <t>A11</t>
        </is>
      </c>
      <c r="B12" s="6" t="n"/>
      <c r="C12" s="6" t="n"/>
      <c r="D12" s="6" t="n"/>
      <c r="E12" s="6" t="n"/>
      <c r="F12" s="6" t="n"/>
      <c r="G12" s="6" t="n"/>
      <c r="H12" s="6" t="n"/>
      <c r="I12" s="6">
        <f>IF(COUNT(B12:H12)=7,ROUND(AVERAGE(B12:H12),2),"")</f>
        <v/>
      </c>
      <c r="J12" s="6" t="n"/>
      <c r="K12" s="6" t="n"/>
    </row>
    <row r="13" ht="30" customHeight="1">
      <c r="A13" s="7" t="inlineStr">
        <is>
          <t>A12</t>
        </is>
      </c>
      <c r="B13" s="7" t="n"/>
      <c r="C13" s="7" t="n"/>
      <c r="D13" s="7" t="n"/>
      <c r="E13" s="7" t="n"/>
      <c r="F13" s="7" t="n"/>
      <c r="G13" s="7" t="n"/>
      <c r="H13" s="7" t="n"/>
      <c r="I13" s="7">
        <f>IF(COUNT(B13:H13)=7,ROUND(AVERAGE(B13:H13),2),"")</f>
        <v/>
      </c>
      <c r="J13" s="7" t="n"/>
      <c r="K13" s="7" t="n"/>
    </row>
    <row r="14" ht="30" customHeight="1">
      <c r="A14" s="6" t="inlineStr">
        <is>
          <t>A13</t>
        </is>
      </c>
      <c r="B14" s="6" t="n"/>
      <c r="C14" s="6" t="n"/>
      <c r="D14" s="6" t="n"/>
      <c r="E14" s="6" t="n"/>
      <c r="F14" s="6" t="n"/>
      <c r="G14" s="6" t="n"/>
      <c r="H14" s="6" t="n"/>
      <c r="I14" s="6">
        <f>IF(COUNT(B14:H14)=7,ROUND(AVERAGE(B14:H14),2),"")</f>
        <v/>
      </c>
      <c r="J14" s="6" t="n"/>
      <c r="K14" s="6" t="n"/>
    </row>
    <row r="15" ht="30" customHeight="1">
      <c r="A15" s="7" t="inlineStr">
        <is>
          <t>A14</t>
        </is>
      </c>
      <c r="B15" s="7" t="n"/>
      <c r="C15" s="7" t="n"/>
      <c r="D15" s="7" t="n"/>
      <c r="E15" s="7" t="n"/>
      <c r="F15" s="7" t="n"/>
      <c r="G15" s="7" t="n"/>
      <c r="H15" s="7" t="n"/>
      <c r="I15" s="7">
        <f>IF(COUNT(B15:H15)=7,ROUND(AVERAGE(B15:H15),2),"")</f>
        <v/>
      </c>
      <c r="J15" s="7" t="n"/>
      <c r="K15" s="7" t="n"/>
    </row>
    <row r="16" ht="30" customHeight="1">
      <c r="A16" s="6" t="inlineStr">
        <is>
          <t>A15</t>
        </is>
      </c>
      <c r="B16" s="6" t="n"/>
      <c r="C16" s="6" t="n"/>
      <c r="D16" s="6" t="n"/>
      <c r="E16" s="6" t="n"/>
      <c r="F16" s="6" t="n"/>
      <c r="G16" s="6" t="n"/>
      <c r="H16" s="6" t="n"/>
      <c r="I16" s="6">
        <f>IF(COUNT(B16:H16)=7,ROUND(AVERAGE(B16:H16),2),"")</f>
        <v/>
      </c>
      <c r="J16" s="6" t="n"/>
      <c r="K16" s="6" t="n"/>
    </row>
    <row r="17" ht="30" customHeight="1">
      <c r="A17" s="7" t="inlineStr">
        <is>
          <t>A16</t>
        </is>
      </c>
      <c r="B17" s="7" t="n"/>
      <c r="C17" s="7" t="n"/>
      <c r="D17" s="7" t="n"/>
      <c r="E17" s="7" t="n"/>
      <c r="F17" s="7" t="n"/>
      <c r="G17" s="7" t="n"/>
      <c r="H17" s="7" t="n"/>
      <c r="I17" s="7">
        <f>IF(COUNT(B17:H17)=7,ROUND(AVERAGE(B17:H17),2),"")</f>
        <v/>
      </c>
      <c r="J17" s="7" t="n"/>
      <c r="K17" s="7" t="n"/>
    </row>
    <row r="18" ht="30" customHeight="1">
      <c r="A18" s="6" t="inlineStr">
        <is>
          <t>A17</t>
        </is>
      </c>
      <c r="B18" s="6" t="n"/>
      <c r="C18" s="6" t="n"/>
      <c r="D18" s="6" t="n"/>
      <c r="E18" s="6" t="n"/>
      <c r="F18" s="6" t="n"/>
      <c r="G18" s="6" t="n"/>
      <c r="H18" s="6" t="n"/>
      <c r="I18" s="6">
        <f>IF(COUNT(B18:H18)=7,ROUND(AVERAGE(B18:H18),2),"")</f>
        <v/>
      </c>
      <c r="J18" s="6" t="n"/>
      <c r="K18" s="6" t="n"/>
    </row>
    <row r="19" ht="30" customHeight="1">
      <c r="A19" s="7" t="inlineStr">
        <is>
          <t>A18</t>
        </is>
      </c>
      <c r="B19" s="7" t="n"/>
      <c r="C19" s="7" t="n"/>
      <c r="D19" s="7" t="n"/>
      <c r="E19" s="7" t="n"/>
      <c r="F19" s="7" t="n"/>
      <c r="G19" s="7" t="n"/>
      <c r="H19" s="7" t="n"/>
      <c r="I19" s="7">
        <f>IF(COUNT(B19:H19)=7,ROUND(AVERAGE(B19:H19),2),"")</f>
        <v/>
      </c>
      <c r="J19" s="7" t="n"/>
      <c r="K19" s="7" t="n"/>
    </row>
    <row r="20" ht="30" customHeight="1">
      <c r="A20" s="6" t="inlineStr">
        <is>
          <t>A19</t>
        </is>
      </c>
      <c r="B20" s="6" t="n"/>
      <c r="C20" s="6" t="n"/>
      <c r="D20" s="6" t="n"/>
      <c r="E20" s="6" t="n"/>
      <c r="F20" s="6" t="n"/>
      <c r="G20" s="6" t="n"/>
      <c r="H20" s="6" t="n"/>
      <c r="I20" s="6">
        <f>IF(COUNT(B20:H20)=7,ROUND(AVERAGE(B20:H20),2),"")</f>
        <v/>
      </c>
      <c r="J20" s="6" t="n"/>
      <c r="K20" s="6" t="n"/>
    </row>
    <row r="21" ht="30" customHeight="1">
      <c r="A21" s="7" t="inlineStr">
        <is>
          <t>A20</t>
        </is>
      </c>
      <c r="B21" s="7" t="n"/>
      <c r="C21" s="7" t="n"/>
      <c r="D21" s="7" t="n"/>
      <c r="E21" s="7" t="n"/>
      <c r="F21" s="7" t="n"/>
      <c r="G21" s="7" t="n"/>
      <c r="H21" s="7" t="n"/>
      <c r="I21" s="7">
        <f>IF(COUNT(B21:H21)=7,ROUND(AVERAGE(B21:H21),2),"")</f>
        <v/>
      </c>
      <c r="J21" s="7" t="n"/>
      <c r="K21" s="7" t="n"/>
    </row>
  </sheetData>
  <dataValidations count="9">
    <dataValidation sqref="B2:B21" showDropDown="0" showInputMessage="0" showErrorMessage="0" allowBlank="1" type="list">
      <formula1>"1,2,3,4,5"</formula1>
    </dataValidation>
    <dataValidation sqref="C2:C21" showDropDown="0" showInputMessage="0" showErrorMessage="0" allowBlank="1" type="list">
      <formula1>"1,2,3,4,5"</formula1>
    </dataValidation>
    <dataValidation sqref="D2:D21" showDropDown="0" showInputMessage="0" showErrorMessage="0" allowBlank="1" type="list">
      <formula1>"1,2,3,4,5"</formula1>
    </dataValidation>
    <dataValidation sqref="E2:E21" showDropDown="0" showInputMessage="0" showErrorMessage="0" allowBlank="1" type="list">
      <formula1>"1,2,3,4,5"</formula1>
    </dataValidation>
    <dataValidation sqref="F2:F21" showDropDown="0" showInputMessage="0" showErrorMessage="0" allowBlank="1" type="list">
      <formula1>"1,2,3,4,5"</formula1>
    </dataValidation>
    <dataValidation sqref="G2:G21" showDropDown="0" showInputMessage="0" showErrorMessage="0" allowBlank="1" type="list">
      <formula1>"1,2,3,4,5"</formula1>
    </dataValidation>
    <dataValidation sqref="H2:H21" showDropDown="0" showInputMessage="0" showErrorMessage="0" allowBlank="1" type="list">
      <formula1>"1,2,3,4,5"</formula1>
    </dataValidation>
    <dataValidation sqref="J2:J21" showDropDown="0" showInputMessage="0" showErrorMessage="0" allowBlank="1" type="list">
      <formula1>"人工作品,机器作品,不确定"</formula1>
    </dataValidation>
    <dataValidation sqref="K2:K2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8" t="inlineStr">
        <is>
          <t>指标</t>
        </is>
      </c>
      <c r="B1" s="8" t="inlineStr">
        <is>
          <t>值</t>
        </is>
      </c>
    </row>
    <row r="2">
      <c r="A2" s="9" t="inlineStr">
        <is>
          <t>片段总数</t>
        </is>
      </c>
      <c r="B2" s="6" t="n">
        <v>20</v>
      </c>
    </row>
    <row r="3">
      <c r="A3" s="9" t="inlineStr">
        <is>
          <t>打分维度数</t>
        </is>
      </c>
      <c r="B3" s="6" t="n">
        <v>7</v>
      </c>
    </row>
    <row r="4">
      <c r="A4" s="9" t="inlineStr">
        <is>
          <t>通过线（量表版本 1）</t>
        </is>
      </c>
      <c r="B4" s="6" t="n">
        <v>4</v>
      </c>
    </row>
    <row r="5">
      <c r="A5" s="9" t="inlineStr">
        <is>
          <t>平均分 ≥ 通过线的片段数</t>
        </is>
      </c>
      <c r="B5" s="6">
        <f>COUNTIF(评分表!I2:I21,"&gt;="&amp;B4)</f>
        <v/>
      </c>
    </row>
    <row r="6">
      <c r="A6" s="9" t="inlineStr">
        <is>
          <t>猜「人工作品」的片段数</t>
        </is>
      </c>
      <c r="B6" s="6">
        <f>COUNTIF(评分表!J2:J21,"人工作品")</f>
        <v/>
      </c>
    </row>
    <row r="7">
      <c r="A7" s="9" t="inlineStr">
        <is>
          <t>猜「不确定」的片段数</t>
        </is>
      </c>
      <c r="B7" s="6">
        <f>COUNTIF(评分表!J2:J21,"不确定")</f>
        <v/>
      </c>
    </row>
    <row r="8">
      <c r="A8" s="9" t="inlineStr">
        <is>
          <t>平均置信度</t>
        </is>
      </c>
      <c r="B8" s="6">
        <f>ROUND(AVERAGE(评分表!K2:K21),2)</f>
        <v/>
      </c>
    </row>
    <row r="10">
      <c r="A10" s="10" t="inlineStr">
        <is>
          <t>各维度均值</t>
        </is>
      </c>
    </row>
    <row r="11">
      <c r="A11" s="9" t="inlineStr">
        <is>
          <t>旋律可记性</t>
        </is>
      </c>
      <c r="B11" s="6">
        <f>ROUND(AVERAGE(评分表!B2:B21),2)</f>
        <v/>
      </c>
    </row>
    <row r="12">
      <c r="A12" s="9" t="inlineStr">
        <is>
          <t>乐句呼吸</t>
        </is>
      </c>
      <c r="B12" s="6">
        <f>ROUND(AVERAGE(评分表!C2:C21),2)</f>
        <v/>
      </c>
    </row>
    <row r="13">
      <c r="A13" s="9" t="inlineStr">
        <is>
          <t>和声功能清晰</t>
        </is>
      </c>
      <c r="B13" s="6">
        <f>ROUND(AVERAGE(评分表!D2:D21),2)</f>
        <v/>
      </c>
    </row>
    <row r="14">
      <c r="A14" s="9" t="inlineStr">
        <is>
          <t>织体主次</t>
        </is>
      </c>
      <c r="B14" s="6">
        <f>ROUND(AVERAGE(评分表!E2:E21),2)</f>
        <v/>
      </c>
    </row>
    <row r="15">
      <c r="A15" s="9" t="inlineStr">
        <is>
          <t>体裁辨识度</t>
        </is>
      </c>
      <c r="B15" s="6">
        <f>ROUND(AVERAGE(评分表!F2:F21),2)</f>
        <v/>
      </c>
    </row>
    <row r="16">
      <c r="A16" s="9" t="inlineStr">
        <is>
          <t>终止式说服力</t>
        </is>
      </c>
      <c r="B16" s="6">
        <f>ROUND(AVERAGE(评分表!G2:G21),2)</f>
        <v/>
      </c>
    </row>
    <row r="17">
      <c r="A17" s="9" t="inlineStr">
        <is>
          <t>声部进行正确性</t>
        </is>
      </c>
      <c r="B17" s="6">
        <f>ROUND(AVERAGE(评分表!H2:H21),2)</f>
        <v/>
      </c>
    </row>
    <row r="19">
      <c r="A19" s="11" t="inlineStr">
        <is>
          <t>说明：本表只做描述统计。要回答「机器是否达到人类水平」，还需开封 _答案_评审后开封.json 后按来源分两组做配对检验。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2026-10-05T03:14:54Z</dcterms:created>
  <dcterms:modified xsi:type="dcterms:W3CDTF">2026-10-05T03:14:54Z</dcterms:modified>
</cp:coreProperties>
</file>